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/>
  <workbookPr hidePivotFieldList="1"/>
  <mc:AlternateContent xmlns:mc="http://schemas.openxmlformats.org/markup-compatibility/2006">
    <mc:Choice Requires="x15">
      <x15ac:absPath xmlns:x15ac="http://schemas.microsoft.com/office/spreadsheetml/2010/11/ac" url="D:\Perkins Update 2021-07-25\reports\archive\"/>
    </mc:Choice>
  </mc:AlternateContent>
  <xr:revisionPtr revIDLastSave="0" documentId="8_{22548757-5F44-4190-8B66-8BC565CDFD9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shboard" sheetId="13" r:id="rId1"/>
    <sheet name="Eventos" sheetId="1" r:id="rId2"/>
    <sheet name="Indicadores" sheetId="14" r:id="rId3"/>
    <sheet name="Producao" sheetId="23" r:id="rId4"/>
    <sheet name="Event_Grafico" sheetId="9" state="hidden" r:id="rId5"/>
    <sheet name="Event_Grafico2" sheetId="20" state="hidden" r:id="rId6"/>
    <sheet name="Event_Grafico3" sheetId="21" state="hidden" r:id="rId7"/>
    <sheet name="Event_Grafico4" sheetId="22" state="hidden" r:id="rId8"/>
    <sheet name="Indic_Grafico" sheetId="15" state="hidden" r:id="rId9"/>
    <sheet name="Resumo_Prod" sheetId="24" state="hidden" r:id="rId10"/>
    <sheet name="Resumo Area" sheetId="16" r:id="rId11"/>
    <sheet name="Resumo Grupo" sheetId="17" r:id="rId12"/>
    <sheet name="Resumo Causa" sheetId="18" r:id="rId13"/>
    <sheet name="Resumo Estacao" sheetId="19" r:id="rId14"/>
  </sheets>
  <definedNames>
    <definedName name="_xlnm._FilterDatabase" localSheetId="1" hidden="1">Eventos!$A$2:$Q$1048575</definedName>
    <definedName name="Eventos_Range">OFFSET(Eventos_Table[[#Headers],[Numero]],0,0,COUNTA(Eventos_Table[[#Headers],[Numero]]:'Eventos'!$A$1048575),COUNTA(Eventos_Table[#Headers]))</definedName>
    <definedName name="Ind_Prod_Ide_Range">OFFSET(Indicadores_Table[[#Headers],[Peças_Ide (un)]],0,0,COUNTA(Indicadores_Table[[#Headers],[Peças_Ide (un)]]:'Indicadores'!$K$1048576),1)</definedName>
    <definedName name="Ind_Prod_Real_Range">OFFSET(Indicadores_Table[[#Headers],[Peças_Pro (un)]],0,0,COUNTA(Indicadores_Table[[#Headers],[Peças_Pro (un)]]:'Indicadores'!$J$1048576),1)</definedName>
    <definedName name="Ind_Runtime_Range">OFFSET(Indicadores_Table[[#Headers],[Runtime (min)]],0,0,COUNTA(Indicadores_Table[[#Headers],[Runtime (min)]]:'Indicadores'!$H$1048576),1)</definedName>
    <definedName name="Indicadores_Range">OFFSET(Indicadores_Table[[#Headers],[Data]],0,0,COUNTA(Indicadores!$A:$A),COUNTA(Indicadores_Table[#Headers]))</definedName>
    <definedName name="Producao_Range">OFFSET(Producao_Table[[#Headers],[Data]],0,0,COUNTA(Producao!$A:$A),COUNTA(Producao_Table[#Headers]))</definedName>
    <definedName name="SegmentaçãodeDados_Area">#N/A</definedName>
  </definedNames>
  <calcPr calcId="191029"/>
  <pivotCaches>
    <pivotCache cacheId="10" r:id="rId15"/>
    <pivotCache cacheId="13" r:id="rId16"/>
    <pivotCache cacheId="16" r:id="rId17"/>
  </pivotCaches>
  <extLst>
    <ext xmlns:x14="http://schemas.microsoft.com/office/spreadsheetml/2009/9/main" uri="{BBE1A952-AA13-448e-AADC-164F8A28A991}">
      <x14:slicerCaches>
        <x14:slicerCache r:id="rId18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02" i="13" l="1"/>
  <c r="AG78" i="13"/>
</calcChain>
</file>

<file path=xl/sharedStrings.xml><?xml version="1.0" encoding="utf-8"?>
<sst xmlns="http://schemas.openxmlformats.org/spreadsheetml/2006/main" count="101" uniqueCount="64">
  <si>
    <t>Numero</t>
  </si>
  <si>
    <t>Data</t>
  </si>
  <si>
    <t>Linha</t>
  </si>
  <si>
    <t>Turno</t>
  </si>
  <si>
    <t>Andon</t>
  </si>
  <si>
    <t>Tipo Evento</t>
  </si>
  <si>
    <t>Ocorrencia</t>
  </si>
  <si>
    <t>Area</t>
  </si>
  <si>
    <t>Grupo</t>
  </si>
  <si>
    <t>Causa</t>
  </si>
  <si>
    <t>Status Ficha</t>
  </si>
  <si>
    <t>Ação Corretiva</t>
  </si>
  <si>
    <t>Observação</t>
  </si>
  <si>
    <t>Tempo Chamada (min)</t>
  </si>
  <si>
    <t>Tempo Atendimento (min)</t>
  </si>
  <si>
    <t>Tempo Total (min)</t>
  </si>
  <si>
    <t>Atendimento (min)</t>
  </si>
  <si>
    <t>Chamada (min)</t>
  </si>
  <si>
    <t>Horas_Plan (min)</t>
  </si>
  <si>
    <t>Parada_Plan (min)</t>
  </si>
  <si>
    <t>Parada_Nplan (min)</t>
  </si>
  <si>
    <t>Runtime (min)</t>
  </si>
  <si>
    <t>Disp_Plan (min)</t>
  </si>
  <si>
    <t>Disp_Calc (%)</t>
  </si>
  <si>
    <t>Efi_Calc (%)</t>
  </si>
  <si>
    <t>Qual_Calc (%)</t>
  </si>
  <si>
    <t>OEE_Calc (%)</t>
  </si>
  <si>
    <t>Areas</t>
  </si>
  <si>
    <t>Total</t>
  </si>
  <si>
    <t>Estação</t>
  </si>
  <si>
    <t>Data Inicio</t>
  </si>
  <si>
    <t>Data Fim</t>
  </si>
  <si>
    <t>Serial</t>
  </si>
  <si>
    <t>Modelo</t>
  </si>
  <si>
    <t>Rejeitado</t>
  </si>
  <si>
    <t>Modelo Motor</t>
  </si>
  <si>
    <t>Peças_Plan (un)</t>
  </si>
  <si>
    <t>Peças_Pro (un)</t>
  </si>
  <si>
    <t>Peças_Ide (un)</t>
  </si>
  <si>
    <t>Peças_Rej (un)</t>
  </si>
  <si>
    <t>Eficiencia (%)</t>
  </si>
  <si>
    <t>Disponibilidade (%)</t>
  </si>
  <si>
    <t>Qualidade (%)</t>
  </si>
  <si>
    <t>OEE (%)</t>
  </si>
  <si>
    <t>Aprovados (un)</t>
  </si>
  <si>
    <t>Reprovações</t>
  </si>
  <si>
    <t>Não Classificada</t>
  </si>
  <si>
    <t>Não Classficada</t>
  </si>
  <si>
    <t>P</t>
  </si>
  <si>
    <t>L</t>
  </si>
  <si>
    <t>Parada</t>
  </si>
  <si>
    <t>Logística</t>
  </si>
  <si>
    <t>Parada_Nqual (min)</t>
  </si>
  <si>
    <t>Parada_Qual (min)</t>
  </si>
  <si>
    <t>Soma de Tempo Total (min)</t>
  </si>
  <si>
    <t>Status Fichas</t>
  </si>
  <si>
    <t>Eventos em (min) por:</t>
  </si>
  <si>
    <t>Contagem de Fichas</t>
  </si>
  <si>
    <t>Período:</t>
  </si>
  <si>
    <t>Não Classificadas</t>
  </si>
  <si>
    <t>Row Labels</t>
  </si>
  <si>
    <t>Grand Total</t>
  </si>
  <si>
    <t>Column Labels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</si>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</sst>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yy/mm/dd\ hh:mm:ss"/>
    <numFmt numFmtId="165" formatCode="0.0%"/>
    <numFmt numFmtId="166" formatCode="0.0"/>
  </numFmts>
  <fonts count="15" x14ac:knownFonts="1">
    <font>
      <sz val="11"/>
      <color theme="1"/>
      <name val="Constantia"/>
      <family val="2"/>
      <scheme val="minor"/>
    </font>
    <font>
      <sz val="11"/>
      <color theme="1"/>
      <name val="Calibri"/>
      <family val="2"/>
      <scheme val="major"/>
    </font>
    <font>
      <sz val="11"/>
      <name val="Calibri"/>
      <family val="2"/>
      <scheme val="major"/>
    </font>
    <font>
      <sz val="11"/>
      <color theme="1"/>
      <name val="Verdana"/>
      <family val="2"/>
    </font>
    <font>
      <b/>
      <sz val="12"/>
      <color theme="1"/>
      <name val="Verdana"/>
      <family val="2"/>
    </font>
    <font>
      <sz val="12"/>
      <color theme="1"/>
      <name val="Verdana"/>
      <family val="2"/>
    </font>
    <font>
      <b/>
      <sz val="11"/>
      <color theme="0"/>
      <name val="Verdana"/>
      <family val="2"/>
    </font>
    <font>
      <sz val="10"/>
      <color theme="1"/>
      <name val="Verdana"/>
      <family val="2"/>
    </font>
    <font>
      <sz val="120"/>
      <color theme="0"/>
      <name val="Verdana"/>
      <family val="2"/>
    </font>
    <font>
      <sz val="22"/>
      <color theme="0"/>
      <name val="Calibri"/>
      <family val="2"/>
      <scheme val="major"/>
    </font>
    <font>
      <sz val="11"/>
      <color theme="1"/>
      <name val="Verdana"/>
      <family val="2"/>
    </font>
    <font>
      <b/>
      <sz val="11"/>
      <color theme="0"/>
      <name val="Verdana"/>
      <family val="2"/>
    </font>
    <font>
      <sz val="10"/>
      <color theme="1"/>
      <name val="Verdana"/>
    </font>
    <font>
      <sz val="11"/>
      <color theme="1"/>
      <name val="Verdana"/>
    </font>
    <font>
      <u/>
      <sz val="11"/>
      <color theme="1"/>
      <name val="Constanti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1" fillId="0" borderId="0" xfId="0" applyFont="1"/>
    <xf numFmtId="0" fontId="2" fillId="0" borderId="0" xfId="0" applyFont="1"/>
    <xf numFmtId="49" fontId="1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 wrapText="1"/>
    </xf>
    <xf numFmtId="49" fontId="5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65" fontId="0" fillId="0" borderId="0" xfId="0" applyNumberFormat="1"/>
    <xf numFmtId="164" fontId="6" fillId="2" borderId="0" xfId="0" applyNumberFormat="1" applyFont="1" applyFill="1" applyAlignment="1">
      <alignment horizontal="center" vertical="center"/>
    </xf>
    <xf numFmtId="1" fontId="6" fillId="2" borderId="0" xfId="0" applyNumberFormat="1" applyFont="1" applyFill="1" applyAlignment="1">
      <alignment horizontal="center" vertical="center"/>
    </xf>
    <xf numFmtId="1" fontId="6" fillId="2" borderId="0" xfId="0" applyNumberFormat="1" applyFont="1" applyFill="1" applyAlignment="1">
      <alignment horizontal="center" vertical="center" wrapText="1"/>
    </xf>
    <xf numFmtId="2" fontId="6" fillId="2" borderId="0" xfId="0" applyNumberFormat="1" applyFont="1" applyFill="1" applyAlignment="1">
      <alignment horizontal="center" vertical="center" wrapText="1"/>
    </xf>
    <xf numFmtId="0" fontId="0" fillId="0" borderId="0" xfId="0" applyFont="1"/>
    <xf numFmtId="49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166" fontId="11" fillId="2" borderId="0" xfId="0" applyNumberFormat="1" applyFont="1" applyFill="1" applyAlignment="1">
      <alignment horizontal="center" vertical="center" wrapText="1"/>
    </xf>
    <xf numFmtId="166" fontId="10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5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66" fontId="6" fillId="2" borderId="0" xfId="0" applyNumberFormat="1" applyFont="1" applyFill="1" applyAlignment="1">
      <alignment horizontal="center" vertical="center" wrapText="1"/>
    </xf>
    <xf numFmtId="0" fontId="12" fillId="0" borderId="0" xfId="0" pivotButton="1" applyFont="1"/>
    <xf numFmtId="0" fontId="12" fillId="0" borderId="0" xfId="0" applyFont="1"/>
    <xf numFmtId="0" fontId="12" fillId="0" borderId="0" xfId="0" applyFont="1" applyAlignment="1">
      <alignment horizontal="left"/>
    </xf>
    <xf numFmtId="0" fontId="12" fillId="0" borderId="0" xfId="0" applyNumberFormat="1" applyFont="1"/>
    <xf numFmtId="19" fontId="0" fillId="0" borderId="0" xfId="0" applyNumberFormat="1" applyAlignment="1">
      <alignment horizontal="left"/>
    </xf>
    <xf numFmtId="0" fontId="13" fillId="0" borderId="0" xfId="0" pivotButton="1" applyFont="1"/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0" borderId="0" xfId="0" applyNumberFormat="1" applyFont="1" applyAlignment="1">
      <alignment horizontal="center"/>
    </xf>
    <xf numFmtId="0" fontId="14" fillId="0" borderId="0" xfId="0" applyFont="1"/>
    <xf numFmtId="2" fontId="8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88">
    <dxf>
      <font>
        <name val="Verdana"/>
        <scheme val="none"/>
      </font>
    </dxf>
    <dxf>
      <font>
        <sz val="10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alignment horizontal="center" readingOrder="0"/>
    </dxf>
    <dxf>
      <font>
        <u/>
      </font>
    </dxf>
    <dxf>
      <numFmt numFmtId="0" formatCode="General"/>
    </dxf>
    <dxf>
      <font>
        <name val="Verdana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name val="Verdana"/>
        <scheme val="none"/>
      </font>
    </dxf>
    <dxf>
      <numFmt numFmtId="0" formatCode="General"/>
    </dxf>
    <dxf>
      <font>
        <u/>
      </font>
    </dxf>
    <dxf>
      <alignment horizontal="center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numFmt numFmtId="164" formatCode="yy/mm/dd\ h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" formatCode="0.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" formatCode="0.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" formatCode="0.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" formatCode="0.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4" formatCode="yy/mm/dd\ h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scheme val="none"/>
      </font>
      <fill>
        <patternFill patternType="solid">
          <fgColor indexed="64"/>
          <bgColor rgb="FF0070C0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scheme val="none"/>
      </font>
      <numFmt numFmtId="164" formatCode="yy/mm/dd\ hh:mm:ss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64" formatCode="yy/mm/dd\ hh:mm:ss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aj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ajor"/>
      </font>
      <alignment horizontal="center" vertical="center" textRotation="0" wrapText="0" indent="0" justifyLastLine="0" shrinkToFit="0" readingOrder="0"/>
    </dxf>
    <dxf>
      <numFmt numFmtId="1" formatCode="0"/>
    </dxf>
    <dxf>
      <font>
        <b/>
        <i val="0"/>
        <sz val="16"/>
        <color theme="0"/>
        <name val="Verdana"/>
        <scheme val="none"/>
      </font>
      <border>
        <bottom style="thin">
          <color theme="4"/>
        </bottom>
        <vertical/>
        <horizontal/>
      </border>
    </dxf>
    <dxf>
      <font>
        <b/>
        <i val="0"/>
        <sz val="14"/>
        <color theme="0"/>
        <name val="Verdana"/>
        <scheme val="none"/>
      </font>
      <fill>
        <patternFill>
          <bgColor rgb="FF61606D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TaktTime" pivot="0" table="0" count="10" xr9:uid="{00000000-0011-0000-FFFF-FFFF00000000}">
      <tableStyleElement type="wholeTable" dxfId="87"/>
      <tableStyleElement type="headerRow" dxfId="86"/>
    </tableStyle>
  </tableStyles>
  <colors>
    <mruColors>
      <color rgb="FF808080"/>
      <color rgb="FF60616D"/>
      <color rgb="FF696A79"/>
      <color rgb="FFD0D6E2"/>
      <color rgb="FF61606D"/>
      <color rgb="FFFF9999"/>
      <color rgb="FFFFCC66"/>
      <color rgb="FFFFCC99"/>
      <color rgb="FFFF7C80"/>
      <color rgb="FF1D77FB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theme="0"/>
              </stop>
              <stop position="1">
                <color theme="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0"/>
              </stop>
              <stop position="1">
                <color theme="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270">
              <stop position="0">
                <color theme="0"/>
              </stop>
              <stop position="1">
                <color theme="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0"/>
              </stop>
              <stop position="1">
                <color theme="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14996795556505021"/>
          </font>
          <fill>
            <patternFill patternType="solid">
              <fgColor theme="4" tint="0.79992065187536243"/>
              <bgColor rgb="FF60616D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 patternType="solid">
              <fgColor theme="4" tint="0.59999389629810485"/>
              <bgColor rgb="FF0070C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 tint="-0.14996795556505021"/>
          </font>
          <fill>
            <patternFill patternType="solid">
              <fgColor rgb="FFFFFFFF"/>
              <bgColor rgb="FF60616D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14996795556505021"/>
          </font>
          <fill>
            <patternFill patternType="solid">
              <fgColor rgb="FFFFFFFF"/>
              <bgColor rgb="FF60616D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aktTime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[Report_Template_33.xlsm]Event_Grafico!DT_Stations</c:name>
    <c:fmtId val="2"/>
  </c:pivotSource>
  <c:chart>
    <c:title>
      <c:tx>
        <c:rich>
          <a:bodyPr/>
          <a:lstStyle/>
          <a:p>
            <a:pPr>
              <a:defRPr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Duração</a:t>
            </a:r>
            <a:r>
              <a:rPr lang="en-US" sz="20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 </a:t>
            </a: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Eventos Logística</a:t>
            </a:r>
            <a:r>
              <a:rPr lang="en-US" sz="20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 por Estação</a:t>
            </a:r>
            <a:endParaRPr lang="en-US" sz="20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  <c:layout>
        <c:manualLayout>
          <c:xMode val="edge"/>
          <c:yMode val="edge"/>
          <c:x val="0.18566430854848026"/>
          <c:y val="8.9618618984459598E-3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numFmt formatCode="#,##0.0" sourceLinked="0"/>
          <c:spPr/>
          <c:txPr>
            <a:bodyPr/>
            <a:lstStyle/>
            <a:p>
              <a:pPr>
                <a:defRPr sz="11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numFmt formatCode="#,##0.0" sourceLinked="0"/>
          <c:spPr/>
          <c:txPr>
            <a:bodyPr/>
            <a:lstStyle/>
            <a:p>
              <a:pPr>
                <a:defRPr sz="11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5165756262237805E-2"/>
          <c:y val="0.26470716008355921"/>
          <c:w val="0.87388053515100095"/>
          <c:h val="0.6693634978179047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Event_Grafico!$B$3</c:f>
              <c:strCache>
                <c:ptCount val="1"/>
                <c:pt idx="0">
                  <c:v>Chamada (min)</c:v>
                </c:pt>
              </c:strCache>
            </c:strRef>
          </c:tx>
          <c:invertIfNegative val="0"/>
          <c:dLbls>
            <c:numFmt formatCode="#,##0.0" sourceLinked="0"/>
            <c:spPr/>
            <c:txPr>
              <a:bodyPr/>
              <a:lstStyle/>
              <a:p>
                <a:pPr>
                  <a:defRPr sz="1100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Event_Grafico!$A$4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Event_Grafico!$B$4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8FF-4447-B782-49B95101A23D}"/>
            </c:ext>
          </c:extLst>
        </c:ser>
        <c:ser>
          <c:idx val="1"/>
          <c:order val="1"/>
          <c:tx>
            <c:strRef>
              <c:f>Event_Grafico!$C$3</c:f>
              <c:strCache>
                <c:ptCount val="1"/>
                <c:pt idx="0">
                  <c:v>Atendimento (min)</c:v>
                </c:pt>
              </c:strCache>
            </c:strRef>
          </c:tx>
          <c:invertIfNegative val="0"/>
          <c:dLbls>
            <c:numFmt formatCode="#,##0.0" sourceLinked="0"/>
            <c:spPr/>
            <c:txPr>
              <a:bodyPr/>
              <a:lstStyle/>
              <a:p>
                <a:pPr>
                  <a:defRPr sz="1100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Event_Grafico!$A$4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Event_Grafico!$C$4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28FF-4447-B782-49B95101A23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9106688"/>
        <c:axId val="109211648"/>
      </c:barChart>
      <c:catAx>
        <c:axId val="10910668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09211648"/>
        <c:crosses val="autoZero"/>
        <c:auto val="1"/>
        <c:lblAlgn val="ctr"/>
        <c:lblOffset val="100"/>
        <c:noMultiLvlLbl val="0"/>
      </c:catAx>
      <c:valAx>
        <c:axId val="109211648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091066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1425859946169128E-2"/>
          <c:y val="7.5528523006480483E-2"/>
          <c:w val="0.83284663491137678"/>
          <c:h val="0.111557669874599"/>
        </c:manualLayout>
      </c:layout>
      <c:overlay val="0"/>
      <c:txPr>
        <a:bodyPr/>
        <a:lstStyle/>
        <a:p>
          <a:pPr>
            <a:defRPr sz="16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Volume Produzido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0039834458060048E-2"/>
          <c:y val="0.21282254463694811"/>
          <c:w val="0.85735786724671126"/>
          <c:h val="0.56615488218651377"/>
        </c:manualLayout>
      </c:layout>
      <c:lineChart>
        <c:grouping val="standard"/>
        <c:varyColors val="0"/>
        <c:ser>
          <c:idx val="0"/>
          <c:order val="0"/>
          <c:tx>
            <c:v>Produção Real (un)</c:v>
          </c:tx>
          <c:spPr>
            <a:ln w="38100">
              <a:solidFill>
                <a:schemeClr val="bg1"/>
              </a:solidFill>
            </a:ln>
          </c:spPr>
          <c:marker>
            <c:symbol val="none"/>
          </c:marker>
          <c:cat>
            <c:strRef>
              <c:f>[0]!Ind_Runtime_Range</c:f>
              <c:strCache>
                <c:ptCount val="1"/>
                <c:pt idx="0">
                  <c:v>Runtime (min)</c:v>
                </c:pt>
              </c:strCache>
            </c:strRef>
          </c:cat>
          <c:val>
            <c:numRef>
              <c:f>[0]!Ind_Prod_Real_Range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82-4591-8554-51B6D1794A9F}"/>
            </c:ext>
          </c:extLst>
        </c:ser>
        <c:ser>
          <c:idx val="1"/>
          <c:order val="1"/>
          <c:tx>
            <c:v>Produção Ideal (un)</c:v>
          </c:tx>
          <c:spPr>
            <a:ln w="38100"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[0]!Ind_Runtime_Range</c:f>
              <c:strCache>
                <c:ptCount val="1"/>
                <c:pt idx="0">
                  <c:v>Runtime (min)</c:v>
                </c:pt>
              </c:strCache>
            </c:strRef>
          </c:cat>
          <c:val>
            <c:numRef>
              <c:f>[0]!Ind_Prod_Ide_Range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82-4591-8554-51B6D179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69856"/>
        <c:axId val="129771392"/>
      </c:lineChart>
      <c:catAx>
        <c:axId val="129769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29771392"/>
        <c:crosses val="autoZero"/>
        <c:auto val="1"/>
        <c:lblAlgn val="ctr"/>
        <c:lblOffset val="100"/>
        <c:noMultiLvlLbl val="0"/>
      </c:catAx>
      <c:valAx>
        <c:axId val="12977139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1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29769856"/>
        <c:crosses val="autoZero"/>
        <c:crossBetween val="between"/>
      </c:valAx>
      <c:spPr>
        <a:noFill/>
        <a:ln>
          <a:noFill/>
        </a:ln>
      </c:spPr>
    </c:plotArea>
    <c:legend>
      <c:legendPos val="t"/>
      <c:overlay val="0"/>
      <c:txPr>
        <a:bodyPr/>
        <a:lstStyle/>
        <a:p>
          <a:pPr>
            <a:defRPr sz="14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[Report_Template_33.xlsm]Indic_Grafico!DT_Analytics</c:name>
    <c:fmtId val="2"/>
  </c:pivotSource>
  <c:chart>
    <c:title>
      <c:tx>
        <c:rich>
          <a:bodyPr/>
          <a:lstStyle/>
          <a:p>
            <a:pPr>
              <a:defRPr sz="18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Indicadores de Produtividade</a:t>
            </a:r>
          </a:p>
        </c:rich>
      </c:tx>
      <c:layout>
        <c:manualLayout>
          <c:xMode val="edge"/>
          <c:yMode val="edge"/>
          <c:x val="0.25418697970896292"/>
          <c:y val="2.1381139368022863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spPr>
          <a:ln w="38100">
            <a:solidFill>
              <a:schemeClr val="tx2">
                <a:lumMod val="20000"/>
                <a:lumOff val="80000"/>
              </a:schemeClr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38100">
            <a:solidFill>
              <a:srgbClr val="03DF67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38100">
            <a:solidFill>
              <a:srgbClr val="1D77FB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38100">
            <a:solidFill>
              <a:schemeClr val="accent6">
                <a:lumMod val="40000"/>
                <a:lumOff val="60000"/>
              </a:schemeClr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399330241258697E-2"/>
          <c:y val="0.15174249432920101"/>
          <c:w val="0.87554174352737657"/>
          <c:h val="0.56915410520605025"/>
        </c:manualLayout>
      </c:layout>
      <c:lineChart>
        <c:grouping val="standard"/>
        <c:varyColors val="0"/>
        <c:ser>
          <c:idx val="0"/>
          <c:order val="0"/>
          <c:tx>
            <c:strRef>
              <c:f>Indic_Grafico!$B$1</c:f>
              <c:strCache>
                <c:ptCount val="1"/>
                <c:pt idx="0">
                  <c:v>Eficiencia (%)</c:v>
                </c:pt>
              </c:strCache>
            </c:strRef>
          </c:tx>
          <c:spPr>
            <a:ln w="38100">
              <a:solidFill>
                <a:schemeClr val="tx2">
                  <a:lumMod val="20000"/>
                  <a:lumOff val="80000"/>
                </a:schemeClr>
              </a:solidFill>
            </a:ln>
          </c:spPr>
          <c:marker>
            <c:symbol val="none"/>
          </c:marker>
          <c:cat>
            <c:strRef>
              <c:f>Indic_Grafico!$A$2:$A$3</c:f>
              <c:strCache>
                <c:ptCount val="1"/>
                <c:pt idx="0">
                  <c:v>12:00:00 AM</c:v>
                </c:pt>
              </c:strCache>
            </c:strRef>
          </c:cat>
          <c:val>
            <c:numRef>
              <c:f>Indic_Grafico!$B$2:$B$3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C7-498B-A26B-62BF9A891D6D}"/>
            </c:ext>
          </c:extLst>
        </c:ser>
        <c:ser>
          <c:idx val="1"/>
          <c:order val="1"/>
          <c:tx>
            <c:strRef>
              <c:f>Indic_Grafico!$C$1</c:f>
              <c:strCache>
                <c:ptCount val="1"/>
                <c:pt idx="0">
                  <c:v>Disponibilidade (%)</c:v>
                </c:pt>
              </c:strCache>
            </c:strRef>
          </c:tx>
          <c:spPr>
            <a:ln w="38100">
              <a:solidFill>
                <a:srgbClr val="03DF67"/>
              </a:solidFill>
            </a:ln>
          </c:spPr>
          <c:marker>
            <c:symbol val="none"/>
          </c:marker>
          <c:cat>
            <c:strRef>
              <c:f>Indic_Grafico!$A$2:$A$3</c:f>
              <c:strCache>
                <c:ptCount val="1"/>
                <c:pt idx="0">
                  <c:v>12:00:00 AM</c:v>
                </c:pt>
              </c:strCache>
            </c:strRef>
          </c:cat>
          <c:val>
            <c:numRef>
              <c:f>Indic_Grafico!$C$2:$C$3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C7-498B-A26B-62BF9A891D6D}"/>
            </c:ext>
          </c:extLst>
        </c:ser>
        <c:ser>
          <c:idx val="2"/>
          <c:order val="2"/>
          <c:tx>
            <c:strRef>
              <c:f>Indic_Grafico!$D$1</c:f>
              <c:strCache>
                <c:ptCount val="1"/>
                <c:pt idx="0">
                  <c:v>Qualidade (%)</c:v>
                </c:pt>
              </c:strCache>
            </c:strRef>
          </c:tx>
          <c:spPr>
            <a:ln w="38100">
              <a:solidFill>
                <a:srgbClr val="1D77FB"/>
              </a:solidFill>
            </a:ln>
          </c:spPr>
          <c:marker>
            <c:symbol val="none"/>
          </c:marker>
          <c:cat>
            <c:strRef>
              <c:f>Indic_Grafico!$A$2:$A$3</c:f>
              <c:strCache>
                <c:ptCount val="1"/>
                <c:pt idx="0">
                  <c:v>12:00:00 AM</c:v>
                </c:pt>
              </c:strCache>
            </c:strRef>
          </c:cat>
          <c:val>
            <c:numRef>
              <c:f>Indic_Grafico!$D$2:$D$3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C7-498B-A26B-62BF9A891D6D}"/>
            </c:ext>
          </c:extLst>
        </c:ser>
        <c:ser>
          <c:idx val="3"/>
          <c:order val="3"/>
          <c:tx>
            <c:strRef>
              <c:f>Indic_Grafico!$E$1</c:f>
              <c:strCache>
                <c:ptCount val="1"/>
                <c:pt idx="0">
                  <c:v>OEE (%)</c:v>
                </c:pt>
              </c:strCache>
            </c:strRef>
          </c:tx>
          <c:spPr>
            <a:ln w="38100"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strRef>
              <c:f>Indic_Grafico!$A$2:$A$3</c:f>
              <c:strCache>
                <c:ptCount val="1"/>
                <c:pt idx="0">
                  <c:v>12:00:00 AM</c:v>
                </c:pt>
              </c:strCache>
            </c:strRef>
          </c:cat>
          <c:val>
            <c:numRef>
              <c:f>Indic_Grafico!$E$2:$E$3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C7-498B-A26B-62BF9A891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633344"/>
        <c:axId val="132634880"/>
      </c:lineChart>
      <c:catAx>
        <c:axId val="1326333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32634880"/>
        <c:crosses val="autoZero"/>
        <c:auto val="1"/>
        <c:lblAlgn val="ctr"/>
        <c:lblOffset val="100"/>
        <c:noMultiLvlLbl val="0"/>
      </c:catAx>
      <c:valAx>
        <c:axId val="1326348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32633344"/>
        <c:crosses val="autoZero"/>
        <c:crossBetween val="between"/>
      </c:valAx>
      <c:spPr>
        <a:noFill/>
        <a:ln>
          <a:noFill/>
        </a:ln>
      </c:spPr>
    </c:plotArea>
    <c:legend>
      <c:legendPos val="t"/>
      <c:layout>
        <c:manualLayout>
          <c:xMode val="edge"/>
          <c:yMode val="edge"/>
          <c:x val="0.13994481426205371"/>
          <c:y val="0.10164675890709483"/>
          <c:w val="0.71475725461817052"/>
          <c:h val="6.6966824969333136E-2"/>
        </c:manualLayout>
      </c:layout>
      <c:overlay val="0"/>
      <c:txPr>
        <a:bodyPr/>
        <a:lstStyle/>
        <a:p>
          <a:pPr>
            <a:defRPr sz="14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[Report_Template_33.xlsm]Event_Grafico3!DT_Event_Type</c:name>
    <c:fmtId val="8"/>
  </c:pivotSource>
  <c:chart>
    <c:title>
      <c:tx>
        <c:rich>
          <a:bodyPr/>
          <a:lstStyle/>
          <a:p>
            <a:pPr>
              <a:defRPr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Paradas Não Programadas por Área (min)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9823052554209023"/>
          <c:y val="0.25706198099791228"/>
          <c:w val="0.40623255189507163"/>
          <c:h val="0.69432967958763681"/>
        </c:manualLayout>
      </c:layout>
      <c:doughnutChart>
        <c:varyColors val="1"/>
        <c:ser>
          <c:idx val="0"/>
          <c:order val="0"/>
          <c:tx>
            <c:strRef>
              <c:f>Event_Grafico3!$B$4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sz="1400" b="1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Event_Grafico3!$A$5</c:f>
              <c:strCache>
                <c:ptCount val="1"/>
                <c:pt idx="0">
                  <c:v>Não Classificadas</c:v>
                </c:pt>
              </c:strCache>
            </c:strRef>
          </c:cat>
          <c:val>
            <c:numRef>
              <c:f>Event_Grafico3!$B$5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07-4DCA-88BD-2FB86619B6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t"/>
      <c:overlay val="0"/>
      <c:spPr>
        <a:noFill/>
        <a:ln>
          <a:noFill/>
        </a:ln>
      </c:spPr>
      <c:txPr>
        <a:bodyPr/>
        <a:lstStyle/>
        <a:p>
          <a:pPr>
            <a:defRPr sz="16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[Report_Template_33.xlsm]Resumo_Prod!DT_Model_Summary</c:name>
    <c:fmtId val="2"/>
  </c:pivotSource>
  <c:chart>
    <c:title>
      <c:tx>
        <c:rich>
          <a:bodyPr/>
          <a:lstStyle/>
          <a:p>
            <a:pPr>
              <a:defRPr sz="28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28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Volume</a:t>
            </a:r>
            <a:r>
              <a:rPr lang="en-US" sz="28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 Produzido por Modelo</a:t>
            </a:r>
            <a:endParaRPr lang="en-US" sz="28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3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64184274173986"/>
          <c:y val="0.1624528443868902"/>
          <c:w val="0.82513401510183138"/>
          <c:h val="0.7481937355453659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Resumo_Prod!$B$2</c:f>
              <c:strCache>
                <c:ptCount val="1"/>
                <c:pt idx="0">
                  <c:v>Reprovações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sz="1300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Resumo_Prod!$A$3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Resumo_Prod!$B$3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E40-4376-930C-6477210ECE6B}"/>
            </c:ext>
          </c:extLst>
        </c:ser>
        <c:ser>
          <c:idx val="1"/>
          <c:order val="1"/>
          <c:tx>
            <c:strRef>
              <c:f>Resumo_Prod!$C$2</c:f>
              <c:strCache>
                <c:ptCount val="1"/>
                <c:pt idx="0">
                  <c:v>Aprovados (un)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sz="1400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Resumo_Prod!$A$3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Resumo_Prod!$C$3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9E40-4376-930C-6477210EC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337856"/>
        <c:axId val="133339776"/>
      </c:barChart>
      <c:catAx>
        <c:axId val="1333378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33339776"/>
        <c:crosses val="autoZero"/>
        <c:auto val="1"/>
        <c:lblAlgn val="ctr"/>
        <c:lblOffset val="100"/>
        <c:noMultiLvlLbl val="0"/>
      </c:catAx>
      <c:valAx>
        <c:axId val="13333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 b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33337856"/>
        <c:crosses val="autoZero"/>
        <c:crossBetween val="between"/>
      </c:valAx>
      <c:spPr>
        <a:noFill/>
        <a:ln>
          <a:noFill/>
        </a:ln>
      </c:spPr>
    </c:plotArea>
    <c:legend>
      <c:legendPos val="t"/>
      <c:overlay val="0"/>
      <c:txPr>
        <a:bodyPr/>
        <a:lstStyle/>
        <a:p>
          <a:pPr>
            <a:defRPr sz="18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[Report_Template_33.xlsm]Event_Grafico2!DT_Event_Area</c:name>
    <c:fmtId val="10"/>
  </c:pivotSource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Paradas Não Programadas por Grupo (min)</a:t>
            </a:r>
          </a:p>
        </c:rich>
      </c:tx>
      <c:layout>
        <c:manualLayout>
          <c:xMode val="edge"/>
          <c:yMode val="edge"/>
          <c:x val="0.17189468158585439"/>
          <c:y val="6.5573770491803282E-2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0021439151789195"/>
          <c:y val="0.19069890659228389"/>
          <c:w val="0.53191324768614445"/>
          <c:h val="0.714811136507272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Event_Grafico2!$B$3:$B$4</c:f>
              <c:strCache>
                <c:ptCount val="1"/>
                <c:pt idx="0">
                  <c:v>Não Classificadas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Event_Grafico2!$A$5:$A$6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Event_Grafico2!$B$5:$B$6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16-4019-8CC2-5A2E723A7A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3747456"/>
        <c:axId val="135554944"/>
      </c:barChart>
      <c:catAx>
        <c:axId val="1337474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135554944"/>
        <c:crosses val="autoZero"/>
        <c:auto val="1"/>
        <c:lblAlgn val="ctr"/>
        <c:lblOffset val="100"/>
        <c:noMultiLvlLbl val="0"/>
      </c:catAx>
      <c:valAx>
        <c:axId val="135554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37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solidFill>
            <a:schemeClr val="bg1"/>
          </a:solidFill>
          <a:latin typeface="Verdana" pitchFamily="34" charset="0"/>
          <a:ea typeface="Verdana" pitchFamily="34" charset="0"/>
          <a:cs typeface="Verdana" pitchFamily="34" charset="0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[Report_Template_33.xlsm]Event_Grafico4!DT_Event_Stage</c:name>
    <c:fmtId val="13"/>
  </c:pivotSource>
  <c:chart>
    <c:title>
      <c:tx>
        <c:rich>
          <a:bodyPr/>
          <a:lstStyle/>
          <a:p>
            <a:pPr>
              <a:defRPr sz="2000"/>
            </a:pPr>
            <a:r>
              <a:rPr lang="en-US" sz="2000" b="1" i="0" baseline="0">
                <a:solidFill>
                  <a:schemeClr val="bg1"/>
                </a:solidFill>
                <a:effectLst/>
                <a:latin typeface="Verdana" pitchFamily="34" charset="0"/>
                <a:ea typeface="Verdana" pitchFamily="34" charset="0"/>
                <a:cs typeface="Verdana" pitchFamily="34" charset="0"/>
              </a:rPr>
              <a:t>Status e Número de Fichas</a:t>
            </a:r>
            <a:endParaRPr lang="en-US" sz="2000">
              <a:solidFill>
                <a:schemeClr val="bg1"/>
              </a:solidFill>
              <a:effectLst/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  <c:overlay val="0"/>
    </c:title>
    <c:autoTitleDeleted val="0"/>
    <c:pivotFmts>
      <c:pivotFmt>
        <c:idx val="0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Event_Grafico4!$B$2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spPr/>
            <c:txPr>
              <a:bodyPr/>
              <a:lstStyle/>
              <a:p>
                <a:pPr>
                  <a:defRPr sz="1400" b="1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Event_Grafico4!$A$3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Event_Grafico4!$B$3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C2-485D-8B70-35B9A230E5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1846400"/>
        <c:axId val="181849472"/>
      </c:barChart>
      <c:catAx>
        <c:axId val="1818464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81849472"/>
        <c:crosses val="autoZero"/>
        <c:auto val="1"/>
        <c:lblAlgn val="ctr"/>
        <c:lblOffset val="100"/>
        <c:noMultiLvlLbl val="0"/>
      </c:catAx>
      <c:valAx>
        <c:axId val="18184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8184640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71</xdr:row>
      <xdr:rowOff>15876</xdr:rowOff>
    </xdr:from>
    <xdr:to>
      <xdr:col>27</xdr:col>
      <xdr:colOff>603250</xdr:colOff>
      <xdr:row>126</xdr:row>
      <xdr:rowOff>79376</xdr:rowOff>
    </xdr:to>
    <xdr:sp macro="" textlink="">
      <xdr:nvSpPr>
        <xdr:cNvPr id="26" name="Retângulo de cantos arredondados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590549" y="13541376"/>
          <a:ext cx="18443576" cy="10541000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444499</xdr:colOff>
      <xdr:row>35</xdr:row>
      <xdr:rowOff>180974</xdr:rowOff>
    </xdr:from>
    <xdr:to>
      <xdr:col>43</xdr:col>
      <xdr:colOff>242061</xdr:colOff>
      <xdr:row>70</xdr:row>
      <xdr:rowOff>158750</xdr:rowOff>
    </xdr:to>
    <xdr:sp macro="" textlink="">
      <xdr:nvSpPr>
        <xdr:cNvPr id="22" name="Retângulo de cantos arredondados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0240624" y="6848474"/>
          <a:ext cx="9354312" cy="6645276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419097</xdr:colOff>
      <xdr:row>1</xdr:row>
      <xdr:rowOff>69849</xdr:rowOff>
    </xdr:from>
    <xdr:to>
      <xdr:col>43</xdr:col>
      <xdr:colOff>216659</xdr:colOff>
      <xdr:row>35</xdr:row>
      <xdr:rowOff>66801</xdr:rowOff>
    </xdr:to>
    <xdr:sp macro="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0215222" y="260349"/>
          <a:ext cx="9354312" cy="6473952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190499</xdr:colOff>
      <xdr:row>1</xdr:row>
      <xdr:rowOff>69849</xdr:rowOff>
    </xdr:from>
    <xdr:to>
      <xdr:col>13</xdr:col>
      <xdr:colOff>666750</xdr:colOff>
      <xdr:row>35</xdr:row>
      <xdr:rowOff>63500</xdr:rowOff>
    </xdr:to>
    <xdr:sp macro="" textlink="">
      <xdr:nvSpPr>
        <xdr:cNvPr id="24" name="Retângulo de cantos arredondados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90499" y="260349"/>
          <a:ext cx="9350376" cy="6470651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190498</xdr:colOff>
      <xdr:row>35</xdr:row>
      <xdr:rowOff>180974</xdr:rowOff>
    </xdr:from>
    <xdr:to>
      <xdr:col>13</xdr:col>
      <xdr:colOff>670685</xdr:colOff>
      <xdr:row>69</xdr:row>
      <xdr:rowOff>177926</xdr:rowOff>
    </xdr:to>
    <xdr:sp macro="" textlink="">
      <xdr:nvSpPr>
        <xdr:cNvPr id="23" name="Retângulo de cantos arredondados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90498" y="6848474"/>
          <a:ext cx="9354312" cy="6473952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555625</xdr:colOff>
      <xdr:row>0</xdr:row>
      <xdr:rowOff>158751</xdr:rowOff>
    </xdr:from>
    <xdr:to>
      <xdr:col>29</xdr:col>
      <xdr:colOff>587375</xdr:colOff>
      <xdr:row>4</xdr:row>
      <xdr:rowOff>82551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429750" y="158751"/>
          <a:ext cx="10953750" cy="685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600" b="1">
              <a:solidFill>
                <a:schemeClr val="bg1"/>
              </a:solidFill>
              <a:latin typeface="+mj-lt"/>
            </a:rPr>
            <a:t>RELATÓRIO DE PRODUÇÃO</a:t>
          </a:r>
        </a:p>
      </xdr:txBody>
    </xdr:sp>
    <xdr:clientData/>
  </xdr:twoCellAnchor>
  <xdr:twoCellAnchor>
    <xdr:from>
      <xdr:col>30</xdr:col>
      <xdr:colOff>277814</xdr:colOff>
      <xdr:row>2</xdr:row>
      <xdr:rowOff>47622</xdr:rowOff>
    </xdr:from>
    <xdr:to>
      <xdr:col>43</xdr:col>
      <xdr:colOff>17337</xdr:colOff>
      <xdr:row>34</xdr:row>
      <xdr:rowOff>187830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158749</xdr:colOff>
      <xdr:row>5</xdr:row>
      <xdr:rowOff>333376</xdr:rowOff>
    </xdr:from>
    <xdr:to>
      <xdr:col>29</xdr:col>
      <xdr:colOff>222249</xdr:colOff>
      <xdr:row>69</xdr:row>
      <xdr:rowOff>95251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715499" y="1285876"/>
          <a:ext cx="10302875" cy="12128500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416719</xdr:colOff>
      <xdr:row>36</xdr:row>
      <xdr:rowOff>138779</xdr:rowOff>
    </xdr:from>
    <xdr:to>
      <xdr:col>13</xdr:col>
      <xdr:colOff>156242</xdr:colOff>
      <xdr:row>69</xdr:row>
      <xdr:rowOff>85176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416719</xdr:colOff>
      <xdr:row>2</xdr:row>
      <xdr:rowOff>47622</xdr:rowOff>
    </xdr:from>
    <xdr:to>
      <xdr:col>13</xdr:col>
      <xdr:colOff>460376</xdr:colOff>
      <xdr:row>35</xdr:row>
      <xdr:rowOff>95249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539750</xdr:colOff>
      <xdr:row>8</xdr:row>
      <xdr:rowOff>70923</xdr:rowOff>
    </xdr:from>
    <xdr:to>
      <xdr:col>28</xdr:col>
      <xdr:colOff>603249</xdr:colOff>
      <xdr:row>37</xdr:row>
      <xdr:rowOff>63501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301622</xdr:colOff>
      <xdr:row>73</xdr:row>
      <xdr:rowOff>95250</xdr:rowOff>
    </xdr:from>
    <xdr:to>
      <xdr:col>25</xdr:col>
      <xdr:colOff>333375</xdr:colOff>
      <xdr:row>122</xdr:row>
      <xdr:rowOff>111125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624711</xdr:colOff>
      <xdr:row>75</xdr:row>
      <xdr:rowOff>63500</xdr:rowOff>
    </xdr:from>
    <xdr:to>
      <xdr:col>43</xdr:col>
      <xdr:colOff>29398</xdr:colOff>
      <xdr:row>121</xdr:row>
      <xdr:rowOff>127000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9738211" y="14525625"/>
          <a:ext cx="9644062" cy="8826500"/>
          <a:chOff x="19610135" y="14510557"/>
          <a:chExt cx="9575449" cy="8978254"/>
        </a:xfrm>
      </xdr:grpSpPr>
      <xdr:sp macro="" textlink="">
        <xdr:nvSpPr>
          <xdr:cNvPr id="3" name="Hexágon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9610135" y="14510557"/>
            <a:ext cx="9575449" cy="8978254"/>
          </a:xfrm>
          <a:prstGeom prst="hexagon">
            <a:avLst/>
          </a:prstGeom>
          <a:solidFill>
            <a:schemeClr val="accent2">
              <a:lumMod val="60000"/>
              <a:lumOff val="40000"/>
              <a:alpha val="34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20690775" y="17435593"/>
            <a:ext cx="7760185" cy="1095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6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Motores</a:t>
            </a:r>
            <a:r>
              <a:rPr lang="en-US" sz="36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 Produzidos (un)</a:t>
            </a:r>
            <a:endParaRPr lang="en-US" sz="36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1114826" y="21268841"/>
            <a:ext cx="6805909" cy="10988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6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RFT (%)</a:t>
            </a:r>
          </a:p>
        </xdr:txBody>
      </xdr:sp>
    </xdr:grpSp>
    <xdr:clientData/>
  </xdr:twoCellAnchor>
  <xdr:twoCellAnchor>
    <xdr:from>
      <xdr:col>15</xdr:col>
      <xdr:colOff>158750</xdr:colOff>
      <xdr:row>38</xdr:row>
      <xdr:rowOff>47625</xdr:rowOff>
    </xdr:from>
    <xdr:to>
      <xdr:col>28</xdr:col>
      <xdr:colOff>333375</xdr:colOff>
      <xdr:row>68</xdr:row>
      <xdr:rowOff>142875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333374</xdr:colOff>
      <xdr:row>37</xdr:row>
      <xdr:rowOff>142875</xdr:rowOff>
    </xdr:from>
    <xdr:to>
      <xdr:col>42</xdr:col>
      <xdr:colOff>412749</xdr:colOff>
      <xdr:row>68</xdr:row>
      <xdr:rowOff>15874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26</xdr:col>
      <xdr:colOff>47625</xdr:colOff>
      <xdr:row>16</xdr:row>
      <xdr:rowOff>0</xdr:rowOff>
    </xdr:from>
    <xdr:to>
      <xdr:col>29</xdr:col>
      <xdr:colOff>190500</xdr:colOff>
      <xdr:row>38</xdr:row>
      <xdr:rowOff>15875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Area 1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re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95875" y="3222625"/>
              <a:ext cx="2190750" cy="4191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atricia Menjao" refreshedDate="44402.385638888889" missingItemsLimit="0" createdVersion="4" refreshedVersion="7" minRefreshableVersion="3" recordCount="2" xr:uid="{00000000-000A-0000-FFFF-FFFFE3000000}">
  <cacheSource type="worksheet">
    <worksheetSource name="Eventos_Range"/>
  </cacheSource>
  <cacheFields count="17">
    <cacheField name="Numero" numFmtId="49">
      <sharedItems containsSemiMixedTypes="0" containsString="0" containsNumber="1" containsInteger="1" minValue="0" maxValue="0"/>
    </cacheField>
    <cacheField name="Data Inicio" numFmtId="164">
      <sharedItems containsSemiMixedTypes="0" containsNonDate="0" containsDate="1" containsString="0" minDate="1899-12-30T00:00:00" maxDate="1899-12-31T00:00:00"/>
    </cacheField>
    <cacheField name="Data Fim" numFmtId="164">
      <sharedItems containsSemiMixedTypes="0" containsNonDate="0" containsDate="1" containsString="0" minDate="1899-12-30T00:00:00" maxDate="1899-12-31T00:00:00"/>
    </cacheField>
    <cacheField name="Linha" numFmtId="1">
      <sharedItems containsSemiMixedTypes="0" containsString="0" containsNumber="1" containsInteger="1" minValue="0" maxValue="0"/>
    </cacheField>
    <cacheField name="Turno" numFmtId="1">
      <sharedItems containsSemiMixedTypes="0" containsString="0" containsNumber="1" containsInteger="1" minValue="0" maxValue="0"/>
    </cacheField>
    <cacheField name="Andon" numFmtId="49">
      <sharedItems containsSemiMixedTypes="0" containsString="0" containsNumber="1" containsInteger="1" minValue="0" maxValue="0" count="1">
        <n v="0"/>
      </sharedItems>
    </cacheField>
    <cacheField name="Tipo Evento" numFmtId="49">
      <sharedItems count="2">
        <s v="P"/>
        <s v="L"/>
      </sharedItems>
    </cacheField>
    <cacheField name="Tempo Chamada (min)" numFmtId="166">
      <sharedItems containsSemiMixedTypes="0" containsString="0" containsNumber="1" containsInteger="1" minValue="0" maxValue="0"/>
    </cacheField>
    <cacheField name="Tempo Atendimento (min)" numFmtId="166">
      <sharedItems containsSemiMixedTypes="0" containsString="0" containsNumber="1" containsInteger="1" minValue="0" maxValue="0"/>
    </cacheField>
    <cacheField name="Tempo Total (min)" numFmtId="166">
      <sharedItems containsSemiMixedTypes="0" containsString="0" containsNumber="1" containsInteger="1" minValue="0" maxValue="0"/>
    </cacheField>
    <cacheField name="Ocorrencia" numFmtId="49">
      <sharedItems containsNonDate="0" containsString="0" containsBlank="1"/>
    </cacheField>
    <cacheField name="Area" numFmtId="49">
      <sharedItems containsNonDate="0" containsString="0" containsBlank="1" count="1">
        <m/>
      </sharedItems>
    </cacheField>
    <cacheField name="Grupo" numFmtId="49">
      <sharedItems containsNonDate="0" containsString="0" containsBlank="1" count="1">
        <m/>
      </sharedItems>
    </cacheField>
    <cacheField name="Causa" numFmtId="49">
      <sharedItems containsNonDate="0" containsString="0" containsBlank="1" count="1">
        <m/>
      </sharedItems>
    </cacheField>
    <cacheField name="Status Ficha" numFmtId="49">
      <sharedItems containsNonDate="0" containsString="0" containsBlank="1" count="1">
        <m/>
      </sharedItems>
    </cacheField>
    <cacheField name="Ação Corretiva" numFmtId="49">
      <sharedItems containsNonDate="0" containsString="0" containsBlank="1"/>
    </cacheField>
    <cacheField name="Observação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atricia Menjao" refreshedDate="44402.385640740744" createdVersion="4" refreshedVersion="7" minRefreshableVersion="3" recordCount="1" xr:uid="{00000000-000A-0000-FFFF-FFFFCB000000}">
  <cacheSource type="worksheet">
    <worksheetSource name="=Indicadores_Range"/>
  </cacheSource>
  <cacheFields count="18">
    <cacheField name="Data" numFmtId="164">
      <sharedItems containsSemiMixedTypes="0" containsNonDate="0" containsDate="1" containsString="0" minDate="1899-12-30T00:00:00" maxDate="1899-12-31T00:00:00" count="1">
        <d v="1899-12-30T00:00:00"/>
      </sharedItems>
    </cacheField>
    <cacheField name="Linha" numFmtId="1">
      <sharedItems containsSemiMixedTypes="0" containsString="0" containsNumber="1" containsInteger="1" minValue="0" maxValue="0"/>
    </cacheField>
    <cacheField name="Turno" numFmtId="1">
      <sharedItems containsSemiMixedTypes="0" containsString="0" containsNumber="1" containsInteger="1" minValue="0" maxValue="0"/>
    </cacheField>
    <cacheField name="Horas_Plan (min)" numFmtId="1">
      <sharedItems containsSemiMixedTypes="0" containsString="0" containsNumber="1" containsInteger="1" minValue="0" maxValue="0"/>
    </cacheField>
    <cacheField name="Parada_Plan (min)" numFmtId="1">
      <sharedItems containsSemiMixedTypes="0" containsString="0" containsNumber="1" containsInteger="1" minValue="0" maxValue="0"/>
    </cacheField>
    <cacheField name="Disp_Plan (min)" numFmtId="1">
      <sharedItems containsSemiMixedTypes="0" containsString="0" containsNumber="1" containsInteger="1" minValue="0" maxValue="0"/>
    </cacheField>
    <cacheField name="Parada_Nplan (min)" numFmtId="166">
      <sharedItems containsSemiMixedTypes="0" containsString="0" containsNumber="1" containsInteger="1" minValue="0" maxValue="0"/>
    </cacheField>
    <cacheField name="Runtime (min)" numFmtId="166">
      <sharedItems containsSemiMixedTypes="0" containsString="0" containsNumber="1" containsInteger="1" minValue="0" maxValue="0"/>
    </cacheField>
    <cacheField name="Peças_Plan (un)" numFmtId="1">
      <sharedItems containsSemiMixedTypes="0" containsString="0" containsNumber="1" containsInteger="1" minValue="0" maxValue="0"/>
    </cacheField>
    <cacheField name="Peças_Pro (un)" numFmtId="1">
      <sharedItems containsSemiMixedTypes="0" containsString="0" containsNumber="1" containsInteger="1" minValue="0" maxValue="0"/>
    </cacheField>
    <cacheField name="Peças_Ide (un)" numFmtId="1">
      <sharedItems containsSemiMixedTypes="0" containsString="0" containsNumber="1" containsInteger="1" minValue="0" maxValue="0"/>
    </cacheField>
    <cacheField name="Peças_Rej (un)" numFmtId="1">
      <sharedItems containsSemiMixedTypes="0" containsString="0" containsNumber="1" containsInteger="1" minValue="0" maxValue="0"/>
    </cacheField>
    <cacheField name="Efi_Calc (%)" numFmtId="2">
      <sharedItems containsSemiMixedTypes="0" containsString="0" containsNumber="1" containsInteger="1" minValue="0" maxValue="0"/>
    </cacheField>
    <cacheField name="Disp_Calc (%)" numFmtId="2">
      <sharedItems containsSemiMixedTypes="0" containsString="0" containsNumber="1" containsInteger="1" minValue="0" maxValue="0"/>
    </cacheField>
    <cacheField name="Qual_Calc (%)" numFmtId="2">
      <sharedItems containsSemiMixedTypes="0" containsString="0" containsNumber="1" containsInteger="1" minValue="0" maxValue="0"/>
    </cacheField>
    <cacheField name="OEE_Calc (%)" numFmtId="2">
      <sharedItems containsSemiMixedTypes="0" containsString="0" containsNumber="1" containsInteger="1" minValue="0" maxValue="0"/>
    </cacheField>
    <cacheField name="Parada_Qual (min)" numFmtId="166">
      <sharedItems containsSemiMixedTypes="0" containsString="0" containsNumber="1" containsInteger="1" minValue="0" maxValue="0"/>
    </cacheField>
    <cacheField name="Parada_Nqual (min)" numFmtId="166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atricia Menjao" refreshedDate="44402.38564108796" createdVersion="4" refreshedVersion="7" minRefreshableVersion="3" recordCount="1" xr:uid="{00000000-000A-0000-FFFF-FFFFC8000000}">
  <cacheSource type="worksheet">
    <worksheetSource name="Producao_Range"/>
  </cacheSource>
  <cacheFields count="4">
    <cacheField name="Data" numFmtId="164">
      <sharedItems containsSemiMixedTypes="0" containsNonDate="0" containsDate="1" containsString="0" minDate="1899-12-30T00:00:00" maxDate="1899-12-31T00:00:00"/>
    </cacheField>
    <cacheField name="Serial" numFmtId="49">
      <sharedItems containsSemiMixedTypes="0" containsString="0" containsNumber="1" containsInteger="1" minValue="0" maxValue="0"/>
    </cacheField>
    <cacheField name="Modelo" numFmtId="49">
      <sharedItems containsSemiMixedTypes="0" containsString="0" containsNumber="1" containsInteger="1" minValue="0" maxValue="0" count="1">
        <n v="0"/>
      </sharedItems>
    </cacheField>
    <cacheField name="Rejeitado" numFmtId="1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0"/>
    <d v="1899-12-30T00:00:00"/>
    <d v="1899-12-30T00:00:00"/>
    <n v="0"/>
    <n v="0"/>
    <x v="0"/>
    <x v="0"/>
    <n v="0"/>
    <n v="0"/>
    <n v="0"/>
    <m/>
    <x v="0"/>
    <x v="0"/>
    <x v="0"/>
    <x v="0"/>
    <m/>
    <m/>
  </r>
  <r>
    <n v="0"/>
    <d v="1899-12-30T00:00:00"/>
    <d v="1899-12-30T00:00:00"/>
    <n v="0"/>
    <n v="0"/>
    <x v="0"/>
    <x v="1"/>
    <n v="0"/>
    <n v="0"/>
    <n v="0"/>
    <m/>
    <x v="0"/>
    <x v="0"/>
    <x v="0"/>
    <x v="0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d v="1899-12-30T00:00:00"/>
    <n v="0"/>
    <x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DT_Stations" cacheId="10" applyNumberFormats="0" applyBorderFormats="0" applyFontFormats="0" applyPatternFormats="0" applyAlignmentFormats="0" applyWidthHeightFormats="1" dataCaption="Valores" updatedVersion="7" minRefreshableVersion="3" useAutoFormatting="1" itemPrintTitles="1" createdVersion="4" indent="0" outline="1" outlineData="1" multipleFieldFilters="0" chartFormat="3">
  <location ref="A3:C4" firstHeaderRow="0" firstDataRow="1" firstDataCol="1" rowPageCount="1" colPageCount="1"/>
  <pivotFields count="17">
    <pivotField showAll="0"/>
    <pivotField showAll="0" defaultSubtotal="0"/>
    <pivotField showAll="0" defaultSubtotal="0"/>
    <pivotField showAll="0"/>
    <pivotField showAll="0"/>
    <pivotField axis="axisRow" showAll="0" sortType="ascending">
      <items count="2">
        <item x="0"/>
        <item t="default"/>
      </items>
    </pivotField>
    <pivotField axis="axisPage" showAll="0">
      <items count="3">
        <item x="1"/>
        <item x="0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6" item="0" hier="-1"/>
  </pageFields>
  <dataFields count="2">
    <dataField name="Chamada (min)" fld="7" baseField="4" baseItem="0"/>
    <dataField name="Atendimento (min)" fld="8" baseField="4" baseItem="0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aptionNotEqual" evalOrder="-1" id="2" stringValue1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DT_Event_Area" cacheId="10" applyNumberFormats="0" applyBorderFormats="0" applyFontFormats="0" applyPatternFormats="0" applyAlignmentFormats="0" applyWidthHeightFormats="1" dataCaption="Valores" updatedVersion="7" minRefreshableVersion="3" useAutoFormatting="1" itemPrintTitles="1" createdVersion="4" indent="0" outline="1" outlineData="1" multipleFieldFilters="0" chartFormat="11">
  <location ref="A3:C6" firstHeaderRow="1" firstDataRow="2" firstDataCol="1" rowPageCount="1" colPageCount="1"/>
  <pivotFields count="17">
    <pivotField showAll="0"/>
    <pivotField showAll="0" defaultSubtotal="0"/>
    <pivotField showAll="0" defaultSubtotal="0"/>
    <pivotField showAll="0"/>
    <pivotField showAll="0"/>
    <pivotField showAll="0"/>
    <pivotField axis="axisPage" showAll="0" sortType="descending">
      <items count="3">
        <item n="Parada" x="0"/>
        <item n="Logistica" x="1"/>
        <item t="default"/>
      </items>
    </pivotField>
    <pivotField showAll="0"/>
    <pivotField showAll="0"/>
    <pivotField dataField="1" showAll="0"/>
    <pivotField showAll="0"/>
    <pivotField axis="axisCol" showAll="0" sortType="ascending">
      <items count="2">
        <item n="Não Classificadas"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showAll="0"/>
  </pivotFields>
  <rowFields count="1">
    <field x="12"/>
  </rowFields>
  <rowItems count="2">
    <i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6" item="0" hier="-1"/>
  </pageFields>
  <dataFields count="1">
    <dataField name="Soma de Tempo Total (min)" fld="9" baseField="12" baseItem="2"/>
  </dataFields>
  <formats count="3">
    <format dxfId="39">
      <pivotArea outline="0" collapsedLevelsAreSubtotals="1" fieldPosition="0"/>
    </format>
    <format dxfId="38">
      <pivotArea dataOnly="0" labelOnly="1" fieldPosition="0">
        <references count="1">
          <reference field="11" count="0"/>
        </references>
      </pivotArea>
    </format>
    <format dxfId="37">
      <pivotArea outline="0" fieldPosition="0">
        <references count="1">
          <reference field="4294967294" count="1">
            <x v="0"/>
          </reference>
        </references>
      </pivotArea>
    </format>
  </formats>
  <chartFormats count="9"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6" format="1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7" format="2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8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0" format="1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DT_Event_Type" cacheId="10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4" indent="0" outline="1" outlineData="1" multipleFieldFilters="0" chartFormat="15">
  <location ref="A4:B5" firstHeaderRow="1" firstDataRow="1" firstDataCol="1" rowPageCount="1" colPageCount="1"/>
  <pivotFields count="17">
    <pivotField showAll="0"/>
    <pivotField showAll="0" defaultSubtotal="0"/>
    <pivotField showAll="0" defaultSubtotal="0"/>
    <pivotField showAll="0"/>
    <pivotField showAll="0"/>
    <pivotField showAll="0"/>
    <pivotField axis="axisPage" showAll="0" sortType="ascending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axis="axisRow" showAll="0">
      <items count="2">
        <item n="Não Classificadas" x="0"/>
        <item t="default"/>
      </items>
    </pivotField>
    <pivotField showAll="0"/>
    <pivotField showAll="0"/>
    <pivotField showAll="0"/>
    <pivotField showAll="0"/>
    <pivotField showAll="0"/>
  </pivotFields>
  <rowFields count="1">
    <field x="11"/>
  </rowFields>
  <rowItems count="1">
    <i>
      <x/>
    </i>
  </rowItems>
  <colItems count="1">
    <i/>
  </colItems>
  <pageFields count="1">
    <pageField fld="6" item="1" hier="-1"/>
  </pageFields>
  <dataFields count="1">
    <dataField name="Soma de Tempo Total (min)" fld="9" baseField="6" baseItem="1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DT_Event_Stage" cacheId="10" applyNumberFormats="0" applyBorderFormats="0" applyFontFormats="0" applyPatternFormats="0" applyAlignmentFormats="0" applyWidthHeightFormats="1" dataCaption="Valores" showMissing="0" updatedVersion="7" minRefreshableVersion="3" useAutoFormatting="1" itemPrintTitles="1" createdVersion="4" indent="0" outline="1" outlineData="1" multipleFieldFilters="0" chartFormat="14">
  <location ref="A2:B3" firstHeaderRow="1" firstDataRow="1" firstDataCol="1"/>
  <pivotFields count="17"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</pivotFields>
  <rowFields count="1">
    <field x="14"/>
  </rowFields>
  <rowItems count="1">
    <i t="grand">
      <x/>
    </i>
  </rowItems>
  <colItems count="1">
    <i/>
  </colItems>
  <dataFields count="1">
    <dataField name="Contagem de Fichas" fld="9" subtotal="count" baseField="14" baseItem="0"/>
  </dataField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4" type="captionNotBeginsWith" evalOrder="-1" id="1" stringValue1="(">
      <autoFilter ref="A1">
        <filterColumn colId="0">
          <customFilters>
            <customFilter operator="notEqual" val="(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DT_Analytics" cacheId="13" applyNumberFormats="0" applyBorderFormats="0" applyFontFormats="0" applyPatternFormats="0" applyAlignmentFormats="0" applyWidthHeightFormats="1" dataCaption="Valores" updatedVersion="7" minRefreshableVersion="3" useAutoFormatting="1" itemPrintTitles="1" createdVersion="4" indent="0" outline="1" outlineData="1" multipleFieldFilters="0" chartFormat="3">
  <location ref="A1:E3" firstHeaderRow="0" firstDataRow="1" firstDataCol="1"/>
  <pivotFields count="18"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" showAll="0" defaultSubtotal="0"/>
    <pivotField numFmtId="1" showAll="0" defaultSubtotal="0"/>
    <pivotField numFmtId="1" showAll="0" defaultSubtotal="0"/>
    <pivotField numFmtId="1" showAll="0" defaultSubtotal="0"/>
    <pivotField dataField="1" showAll="0"/>
    <pivotField dataField="1" showAll="0"/>
    <pivotField dataField="1" showAll="0"/>
    <pivotField dataField="1" showAll="0"/>
    <pivotField numFmtId="166" showAll="0" defaultSubtotal="0"/>
    <pivotField numFmtId="166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Eficiencia (%)" fld="12" subtotal="max" baseField="0" baseItem="0"/>
    <dataField name="Disponibilidade (%)" fld="13" subtotal="max" baseField="0" baseItem="0"/>
    <dataField name="Qualidade (%)" fld="14" subtotal="max" baseField="0" baseItem="0"/>
    <dataField name="OEE (%)" fld="15" subtotal="max" baseField="0" baseItem="0"/>
  </dataFields>
  <chartFormats count="8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DT_Model_Summary" cacheId="16" applyNumberFormats="0" applyBorderFormats="0" applyFontFormats="0" applyPatternFormats="0" applyAlignmentFormats="0" applyWidthHeightFormats="1" dataCaption="Valores" updatedVersion="7" minRefreshableVersion="3" useAutoFormatting="1" itemPrintTitles="1" createdVersion="4" indent="0" outline="1" outlineData="1" multipleFieldFilters="0" chartFormat="4" rowHeaderCaption="Modelo Motor">
  <location ref="A2:C3" firstHeaderRow="0" firstDataRow="1" firstDataCol="1"/>
  <pivotFields count="4">
    <pivotField showAll="0"/>
    <pivotField dataField="1" showAll="0"/>
    <pivotField axis="axisRow" showAll="0">
      <items count="2">
        <item x="0"/>
        <item t="default"/>
      </items>
    </pivotField>
    <pivotField dataField="1" showAll="0"/>
  </pivotFields>
  <rowFields count="1">
    <field x="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Reprovações" fld="3" baseField="2" baseItem="0"/>
    <dataField name="Aprovados (un)" fld="1" subtotal="count" baseField="2" baseItem="0"/>
  </dataFields>
  <formats count="2">
    <format dxfId="36">
      <pivotArea type="all" dataOnly="0" outline="0" fieldPosition="0"/>
    </format>
    <format dxfId="35">
      <pivotArea type="all" dataOnly="0" outline="0" fieldPosition="0"/>
    </format>
  </format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2" showRowHeaders="1" showColHeaders="1" showRowStripes="0" showColStripes="0" showLastColumn="1"/>
  <filters count="1">
    <filter fld="2" type="captionNotEqual" evalOrder="-1" id="1" stringValue1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DT_Area_Summary" cacheId="10" applyNumberFormats="0" applyBorderFormats="0" applyFontFormats="0" applyPatternFormats="0" applyAlignmentFormats="0" applyWidthHeightFormats="1" dataCaption="Valores" grandTotalCaption="Total" updatedVersion="7" minRefreshableVersion="3" useAutoFormatting="1" itemPrintTitles="1" createdVersion="4" indent="0" outline="1" outlineData="1" multipleFieldFilters="0" chartFormat="3" rowHeaderCaption="Areas" colHeaderCaption="Status Fichas">
  <location ref="A1:B3" firstHeaderRow="1" firstDataRow="2" firstDataCol="1"/>
  <pivotFields count="17">
    <pivotField showAll="0"/>
    <pivotField showAll="0" defaultSubtotal="0"/>
    <pivotField showAll="0" defaultSubtotal="0"/>
    <pivotField showAll="0"/>
    <pivotField showAll="0"/>
    <pivotField showAll="0" sortType="ascending"/>
    <pivotField showAll="0"/>
    <pivotField showAll="0"/>
    <pivotField showAll="0"/>
    <pivotField dataField="1" showAll="0"/>
    <pivotField showAll="0"/>
    <pivotField axis="axisRow" showAll="0">
      <items count="2">
        <item n="Não Classificada" x="0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showAll="0"/>
    <pivotField showAll="0"/>
  </pivotFields>
  <rowFields count="1">
    <field x="11"/>
  </rowFields>
  <rowItems count="1">
    <i t="grand">
      <x/>
    </i>
  </rowItems>
  <colFields count="1">
    <field x="14"/>
  </colFields>
  <colItems count="1">
    <i t="grand">
      <x/>
    </i>
  </colItems>
  <dataFields count="1">
    <dataField name="Eventos em (min) por:" fld="9" baseField="11" baseItem="0"/>
  </dataFields>
  <formats count="4">
    <format dxfId="34">
      <pivotArea dataOnly="0" labelOnly="1" fieldPosition="0">
        <references count="1">
          <reference field="14" count="0"/>
        </references>
      </pivotArea>
    </format>
    <format dxfId="33">
      <pivotArea dataOnly="0" labelOnly="1" grandCol="1" outline="0" fieldPosition="0"/>
    </format>
    <format dxfId="32">
      <pivotArea outline="0" collapsedLevelsAreSubtotals="1" fieldPosition="0"/>
    </format>
    <format dxfId="31">
      <pivotArea type="all" dataOnly="0" outline="0" fieldPosition="0"/>
    </format>
  </formats>
  <pivotTableStyleInfo name="PivotStyleDark2" showRowHeaders="1" showColHeaders="1" showRowStripes="0" showColStripes="0" showLastColumn="1"/>
  <filters count="1">
    <filter fld="14" type="captionNotBeginsWith" evalOrder="-1" id="2" stringValue1="(">
      <autoFilter ref="A1">
        <filterColumn colId="0">
          <customFilters>
            <customFilter operator="notEqual" val="(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DT_Group_Summary" cacheId="10" applyNumberFormats="0" applyBorderFormats="0" applyFontFormats="0" applyPatternFormats="0" applyAlignmentFormats="0" applyWidthHeightFormats="1" dataCaption="Valores" updatedVersion="7" minRefreshableVersion="3" useAutoFormatting="1" itemPrintTitles="1" createdVersion="4" indent="0" outline="1" outlineData="1" multipleFieldFilters="0" chartFormat="3" rowHeaderCaption="Grupo" colHeaderCaption="Tipo Evento">
  <location ref="A1:D4" firstHeaderRow="1" firstDataRow="2" firstDataCol="1"/>
  <pivotFields count="17">
    <pivotField showAll="0"/>
    <pivotField showAll="0" defaultSubtotal="0"/>
    <pivotField showAll="0" defaultSubtotal="0"/>
    <pivotField showAll="0"/>
    <pivotField showAll="0"/>
    <pivotField showAll="0" sortType="ascending"/>
    <pivotField axis="axisCol" showAll="0">
      <items count="3">
        <item n="Logística" x="1"/>
        <item n="Parada" x="0"/>
        <item t="default"/>
      </items>
    </pivotField>
    <pivotField showAll="0"/>
    <pivotField showAll="0"/>
    <pivotField dataField="1" showAll="0"/>
    <pivotField showAll="0"/>
    <pivotField showAll="0"/>
    <pivotField axis="axisRow" showAll="0">
      <items count="2">
        <item n="Não Classficada" x="0"/>
        <item t="default"/>
      </items>
    </pivotField>
    <pivotField showAll="0"/>
    <pivotField showAll="0"/>
    <pivotField showAll="0"/>
    <pivotField showAll="0"/>
  </pivotFields>
  <rowFields count="1">
    <field x="12"/>
  </rowFields>
  <rowItems count="2">
    <i>
      <x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Eventos em (min) por:" fld="9" baseField="12" baseItem="0"/>
  </dataFields>
  <formats count="3">
    <format dxfId="30">
      <pivotArea collapsedLevelsAreSubtotals="1" fieldPosition="0">
        <references count="1">
          <reference field="12" count="0"/>
        </references>
      </pivotArea>
    </format>
    <format dxfId="29">
      <pivotArea grandRow="1" outline="0" collapsedLevelsAreSubtotals="1" fieldPosition="0"/>
    </format>
    <format dxfId="28">
      <pivotArea type="all" dataOnly="0" outline="0" fieldPosition="0"/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DT_Cause_Summary" cacheId="10" applyNumberFormats="0" applyBorderFormats="0" applyFontFormats="0" applyPatternFormats="0" applyAlignmentFormats="0" applyWidthHeightFormats="1" dataCaption="Valores" updatedVersion="7" minRefreshableVersion="3" useAutoFormatting="1" itemPrintTitles="1" createdVersion="4" indent="0" outline="1" outlineData="1" multipleFieldFilters="0" chartFormat="3" rowHeaderCaption="Causa" colHeaderCaption="Tipo Evento">
  <location ref="A1:D4" firstHeaderRow="1" firstDataRow="2" firstDataCol="1"/>
  <pivotFields count="17">
    <pivotField showAll="0"/>
    <pivotField showAll="0" defaultSubtotal="0"/>
    <pivotField showAll="0" defaultSubtotal="0"/>
    <pivotField showAll="0"/>
    <pivotField showAll="0"/>
    <pivotField showAll="0" sortType="ascending"/>
    <pivotField axis="axisCol" showAll="0">
      <items count="3">
        <item n="Logística" x="1"/>
        <item n="Parada"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axis="axisRow" showAll="0">
      <items count="2">
        <item n="Não Classificada" x="0"/>
        <item t="default"/>
      </items>
    </pivotField>
    <pivotField showAll="0"/>
    <pivotField showAll="0"/>
    <pivotField showAll="0"/>
  </pivotFields>
  <rowFields count="1">
    <field x="13"/>
  </rowFields>
  <rowItems count="2">
    <i>
      <x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Eventos em (min) por:" fld="9" baseField="13" baseItem="0"/>
  </dataFields>
  <formats count="4">
    <format dxfId="27">
      <pivotArea outline="0" collapsedLevelsAreSubtotals="1" fieldPosition="0"/>
    </format>
    <format dxfId="26">
      <pivotArea dataOnly="0" labelOnly="1" fieldPosition="0">
        <references count="1">
          <reference field="6" count="0"/>
        </references>
      </pivotArea>
    </format>
    <format dxfId="25">
      <pivotArea dataOnly="0" labelOnly="1" grandCol="1" outline="0" fieldPosition="0"/>
    </format>
    <format dxfId="24">
      <pivotArea type="all" dataOnly="0" outline="0" fieldPosition="0"/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DT_Station_Summary" cacheId="10" applyNumberFormats="0" applyBorderFormats="0" applyFontFormats="0" applyPatternFormats="0" applyAlignmentFormats="0" applyWidthHeightFormats="1" dataCaption="Valores" updatedVersion="7" minRefreshableVersion="3" useAutoFormatting="1" itemPrintTitles="1" createdVersion="4" indent="0" outline="1" outlineData="1" multipleFieldFilters="0" chartFormat="3" rowHeaderCaption="Estação" colHeaderCaption="Tipo Evento">
  <location ref="A1:B3" firstHeaderRow="1" firstDataRow="2" firstDataCol="1"/>
  <pivotFields count="17">
    <pivotField showAll="0"/>
    <pivotField showAll="0" defaultSubtotal="0"/>
    <pivotField showAll="0" defaultSubtotal="0"/>
    <pivotField showAll="0"/>
    <pivotField showAll="0"/>
    <pivotField axis="axisRow" showAll="0" sortType="ascending">
      <items count="2">
        <item x="0"/>
        <item t="default"/>
      </items>
    </pivotField>
    <pivotField axis="axisCol" showAll="0">
      <items count="3">
        <item n="Logística" x="1"/>
        <item n="Parada"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">
    <i t="grand">
      <x/>
    </i>
  </rowItems>
  <colFields count="1">
    <field x="6"/>
  </colFields>
  <colItems count="1">
    <i t="grand">
      <x/>
    </i>
  </colItems>
  <dataFields count="1">
    <dataField name="Eventos em (min) por:" fld="9" baseField="5" baseItem="14"/>
  </dataFields>
  <formats count="4">
    <format dxfId="23">
      <pivotArea outline="0" collapsedLevelsAreSubtotals="1" fieldPosition="0"/>
    </format>
    <format dxfId="22">
      <pivotArea dataOnly="0" labelOnly="1" fieldPosition="0">
        <references count="1">
          <reference field="6" count="0"/>
        </references>
      </pivotArea>
    </format>
    <format dxfId="21">
      <pivotArea dataOnly="0" labelOnly="1" grandCol="1" outline="0" fieldPosition="0"/>
    </format>
    <format dxfId="20">
      <pivotArea type="all" dataOnly="0" outline="0" fieldPosition="0"/>
    </format>
  </formats>
  <pivotTableStyleInfo name="PivotStyleDark2" showRowHeaders="1" showColHeaders="1" showRowStripes="0" showColStripes="0" showLastColumn="1"/>
  <filters count="1">
    <filter fld="5" type="captionNotEqual" evalOrder="-1" id="1" stringValue1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rea" xr10:uid="{00000000-0013-0000-FFFF-FFFF01000000}" sourceName="Area">
  <pivotTables>
    <pivotTable tabId="20" name="DT_Event_Area"/>
  </pivotTables>
  <data>
    <tabular pivotCacheId="1" showMissing="0" crossFilter="showItemsWithNoData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rea 1" xr10:uid="{00000000-0014-0000-FFFF-FFFF01000000}" cache="SegmentaçãodeDados_Area" caption="Areas" showCaption="0" style="TaktTime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Eventos_Table" displayName="Eventos_Table" ref="A2:Q1048575" totalsRowShown="0" headerRowDxfId="84" dataDxfId="83">
  <autoFilter ref="A2:Q1048575" xr:uid="{00000000-0009-0000-0100-000007000000}"/>
  <tableColumns count="17">
    <tableColumn id="1" xr3:uid="{00000000-0010-0000-0000-000001000000}" name="Numero" dataDxfId="82"/>
    <tableColumn id="2" xr3:uid="{00000000-0010-0000-0000-000002000000}" name="Data Inicio" dataDxfId="81"/>
    <tableColumn id="17" xr3:uid="{00000000-0010-0000-0000-000011000000}" name="Data Fim" dataDxfId="80"/>
    <tableColumn id="3" xr3:uid="{00000000-0010-0000-0000-000003000000}" name="Linha" dataDxfId="79"/>
    <tableColumn id="4" xr3:uid="{00000000-0010-0000-0000-000004000000}" name="Turno" dataDxfId="78"/>
    <tableColumn id="5" xr3:uid="{00000000-0010-0000-0000-000005000000}" name="Andon" dataDxfId="77"/>
    <tableColumn id="6" xr3:uid="{00000000-0010-0000-0000-000006000000}" name="Tipo Evento" dataDxfId="76"/>
    <tableColumn id="7" xr3:uid="{00000000-0010-0000-0000-000007000000}" name="Tempo Chamada (min)" dataDxfId="75"/>
    <tableColumn id="8" xr3:uid="{00000000-0010-0000-0000-000008000000}" name="Tempo Atendimento (min)" dataDxfId="74"/>
    <tableColumn id="9" xr3:uid="{00000000-0010-0000-0000-000009000000}" name="Tempo Total (min)" dataDxfId="73"/>
    <tableColumn id="10" xr3:uid="{00000000-0010-0000-0000-00000A000000}" name="Ocorrencia" dataDxfId="72"/>
    <tableColumn id="11" xr3:uid="{00000000-0010-0000-0000-00000B000000}" name="Area" dataDxfId="71"/>
    <tableColumn id="12" xr3:uid="{00000000-0010-0000-0000-00000C000000}" name="Grupo" dataDxfId="70"/>
    <tableColumn id="13" xr3:uid="{00000000-0010-0000-0000-00000D000000}" name="Causa" dataDxfId="69"/>
    <tableColumn id="14" xr3:uid="{00000000-0010-0000-0000-00000E000000}" name="Status Ficha" dataDxfId="68"/>
    <tableColumn id="15" xr3:uid="{00000000-0010-0000-0000-00000F000000}" name="Ação Corretiva" dataDxfId="67"/>
    <tableColumn id="16" xr3:uid="{00000000-0010-0000-0000-000010000000}" name="Observação" dataDxfId="66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Indicadores_Table" displayName="Indicadores_Table" ref="A1:R1048576" totalsRowShown="0" headerRowDxfId="65" dataDxfId="64">
  <autoFilter ref="A1:R1048576" xr:uid="{00000000-0009-0000-0100-000003000000}"/>
  <tableColumns count="18">
    <tableColumn id="1" xr3:uid="{00000000-0010-0000-0100-000001000000}" name="Data" dataDxfId="63"/>
    <tableColumn id="2" xr3:uid="{00000000-0010-0000-0100-000002000000}" name="Linha" dataDxfId="62"/>
    <tableColumn id="3" xr3:uid="{00000000-0010-0000-0100-000003000000}" name="Turno" dataDxfId="61"/>
    <tableColumn id="4" xr3:uid="{00000000-0010-0000-0100-000004000000}" name="Horas_Plan (min)" dataDxfId="60"/>
    <tableColumn id="5" xr3:uid="{00000000-0010-0000-0100-000005000000}" name="Parada_Plan (min)" dataDxfId="59"/>
    <tableColumn id="6" xr3:uid="{00000000-0010-0000-0100-000006000000}" name="Disp_Plan (min)" dataDxfId="58"/>
    <tableColumn id="7" xr3:uid="{00000000-0010-0000-0100-000007000000}" name="Parada_Nplan (min)" dataDxfId="57"/>
    <tableColumn id="8" xr3:uid="{00000000-0010-0000-0100-000008000000}" name="Runtime (min)" dataDxfId="56"/>
    <tableColumn id="9" xr3:uid="{00000000-0010-0000-0100-000009000000}" name="Peças_Plan (un)" dataDxfId="55"/>
    <tableColumn id="10" xr3:uid="{00000000-0010-0000-0100-00000A000000}" name="Peças_Pro (un)" dataDxfId="54"/>
    <tableColumn id="11" xr3:uid="{00000000-0010-0000-0100-00000B000000}" name="Peças_Ide (un)" dataDxfId="53"/>
    <tableColumn id="12" xr3:uid="{00000000-0010-0000-0100-00000C000000}" name="Peças_Rej (un)" dataDxfId="52"/>
    <tableColumn id="13" xr3:uid="{00000000-0010-0000-0100-00000D000000}" name="Efi_Calc (%)" dataDxfId="51"/>
    <tableColumn id="14" xr3:uid="{00000000-0010-0000-0100-00000E000000}" name="Disp_Calc (%)" dataDxfId="50"/>
    <tableColumn id="15" xr3:uid="{00000000-0010-0000-0100-00000F000000}" name="Qual_Calc (%)" dataDxfId="49"/>
    <tableColumn id="16" xr3:uid="{00000000-0010-0000-0100-000010000000}" name="OEE_Calc (%)" dataDxfId="48"/>
    <tableColumn id="17" xr3:uid="{00000000-0010-0000-0100-000011000000}" name="Parada_Qual (min)" dataDxfId="47"/>
    <tableColumn id="18" xr3:uid="{00000000-0010-0000-0100-000012000000}" name="Parada_Nqual (min)" dataDxfId="46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Producao_Table" displayName="Producao_Table" ref="A2:D1048576" totalsRowShown="0" headerRowDxfId="45" dataDxfId="44">
  <autoFilter ref="A2:D1048576" xr:uid="{00000000-0009-0000-0100-000002000000}"/>
  <tableColumns count="4">
    <tableColumn id="1" xr3:uid="{00000000-0010-0000-0200-000001000000}" name="Data" dataDxfId="43"/>
    <tableColumn id="2" xr3:uid="{00000000-0010-0000-0200-000002000000}" name="Serial" dataDxfId="42"/>
    <tableColumn id="3" xr3:uid="{00000000-0010-0000-0200-000003000000}" name="Modelo" dataDxfId="41"/>
    <tableColumn id="4" xr3:uid="{00000000-0010-0000-0200-000004000000}" name="Rejeitado" dataDxfId="40"/>
  </tableColumns>
  <tableStyleInfo name="TableStyleMedium16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Fluxo">
  <a:themeElements>
    <a:clrScheme name="Fluxo">
      <a:dk1>
        <a:sysClr val="windowText" lastClr="000000"/>
      </a:dk1>
      <a:lt1>
        <a:sysClr val="window" lastClr="FFFFFF"/>
      </a:lt1>
      <a:dk2>
        <a:srgbClr val="04617B"/>
      </a:dk2>
      <a:lt2>
        <a:srgbClr val="DBF5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Fluxo">
      <a:majorFont>
        <a:latin typeface="Calibri"/>
        <a:ea typeface=""/>
        <a:cs typeface=""/>
        <a:font script="Jpan" typeface="ＭＳ Ｐゴシック"/>
        <a:font script="Hang" typeface="HY중고딕"/>
        <a:font script="Hans" typeface="隶书"/>
        <a:font script="Hant" typeface="微軟正黑體"/>
        <a:font script="Arab" typeface="Traditional Arabic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nstantia"/>
        <a:ea typeface=""/>
        <a:cs typeface=""/>
        <a:font script="Jpan" typeface="HGP明朝E"/>
        <a:font script="Hang" typeface="HY신명조"/>
        <a:font script="Hans" typeface="宋体"/>
        <a:font script="Hant" typeface="新細明體"/>
        <a:font script="Arab" typeface="Majalla UI"/>
        <a:font script="Hebr" typeface="David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Fluxo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30000"/>
              </a:schemeClr>
            </a:gs>
            <a:gs pos="43000">
              <a:schemeClr val="phClr">
                <a:tint val="44000"/>
                <a:satMod val="165000"/>
              </a:schemeClr>
            </a:gs>
            <a:gs pos="93000">
              <a:schemeClr val="phClr">
                <a:tint val="15000"/>
                <a:satMod val="165000"/>
              </a:schemeClr>
            </a:gs>
            <a:gs pos="100000">
              <a:schemeClr val="phClr">
                <a:tint val="5000"/>
                <a:satMod val="250000"/>
              </a:schemeClr>
            </a:gs>
          </a:gsLst>
          <a:path path="circle">
            <a:fillToRect l="50000" t="130000" r="50000" b="-30000"/>
          </a:path>
        </a:gradFill>
        <a:gradFill rotWithShape="1">
          <a:gsLst>
            <a:gs pos="0">
              <a:schemeClr val="phClr">
                <a:tint val="98000"/>
                <a:shade val="25000"/>
                <a:satMod val="250000"/>
              </a:schemeClr>
            </a:gs>
            <a:gs pos="68000">
              <a:schemeClr val="phClr">
                <a:tint val="86000"/>
                <a:satMod val="115000"/>
              </a:schemeClr>
            </a:gs>
            <a:gs pos="100000">
              <a:schemeClr val="phClr">
                <a:tint val="50000"/>
                <a:satMod val="150000"/>
              </a:schemeClr>
            </a:gs>
          </a:gsLst>
          <a:path path="circle">
            <a:fillToRect l="50000" t="130000" r="50000" b="-30000"/>
          </a:path>
        </a:gradFill>
      </a:fillStyleLst>
      <a:lnStyleLst>
        <a:ln w="9525" cap="flat" cmpd="sng" algn="ctr">
          <a:solidFill>
            <a:schemeClr val="phClr">
              <a:shade val="50000"/>
              <a:satMod val="103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7150" dist="38100" dir="5400000" algn="ctr" rotWithShape="0">
              <a:schemeClr val="phClr">
                <a:shade val="9000"/>
                <a:alpha val="48000"/>
                <a:satMod val="105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alpha val="48000"/>
                <a:satMod val="105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alpha val="48000"/>
                <a:satMod val="105000"/>
              </a:schemeClr>
            </a:outerShdw>
          </a:effectLst>
          <a:scene3d>
            <a:camera prst="orthographicFront">
              <a:rot lat="0" lon="0" rev="0"/>
            </a:camera>
            <a:lightRig rig="glow" dir="tl">
              <a:rot lat="0" lon="0" rev="900000"/>
            </a:lightRig>
          </a:scene3d>
          <a:sp3d prstMaterial="powder"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400000"/>
              </a:schemeClr>
            </a:gs>
            <a:gs pos="25000">
              <a:schemeClr val="phClr">
                <a:tint val="83000"/>
                <a:satMod val="320000"/>
              </a:schemeClr>
            </a:gs>
            <a:gs pos="100000">
              <a:schemeClr val="phClr">
                <a:shade val="15000"/>
                <a:satMod val="320000"/>
              </a:schemeClr>
            </a:gs>
          </a:gsLst>
          <a:path path="circle">
            <a:fillToRect l="10000" t="110000" r="10000" b="10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8000"/>
                <a:satMod val="150000"/>
              </a:schemeClr>
            </a:duotone>
          </a:blip>
          <a:tile tx="0" ty="0" sx="65000" sy="6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R6:AN112"/>
  <sheetViews>
    <sheetView showGridLines="0" tabSelected="1" zoomScale="60" zoomScaleNormal="60" workbookViewId="0">
      <selection activeCell="AD39" sqref="AD39"/>
    </sheetView>
  </sheetViews>
  <sheetFormatPr defaultRowHeight="15" x14ac:dyDescent="0.25"/>
  <sheetData>
    <row r="6" spans="18:27" ht="28.5" x14ac:dyDescent="0.25">
      <c r="R6" s="53" t="s">
        <v>58</v>
      </c>
      <c r="S6" s="53"/>
      <c r="T6" s="53"/>
      <c r="U6" s="53"/>
      <c r="V6" s="53"/>
      <c r="W6" s="53"/>
      <c r="X6" s="53"/>
      <c r="Y6" s="53"/>
      <c r="Z6" s="53"/>
      <c r="AA6" s="53"/>
    </row>
    <row r="78" spans="33:40" ht="15" customHeight="1" x14ac:dyDescent="0.25">
      <c r="AG78" s="52">
        <f>GETPIVOTDATA("Aprovados (un)",Resumo_Prod!$A$2)</f>
        <v>0</v>
      </c>
      <c r="AH78" s="52"/>
      <c r="AI78" s="52"/>
      <c r="AJ78" s="52"/>
      <c r="AK78" s="52"/>
      <c r="AL78" s="52"/>
      <c r="AM78" s="52"/>
      <c r="AN78" s="52"/>
    </row>
    <row r="79" spans="33:40" ht="15" customHeight="1" x14ac:dyDescent="0.25">
      <c r="AG79" s="52"/>
      <c r="AH79" s="52"/>
      <c r="AI79" s="52"/>
      <c r="AJ79" s="52"/>
      <c r="AK79" s="52"/>
      <c r="AL79" s="52"/>
      <c r="AM79" s="52"/>
      <c r="AN79" s="52"/>
    </row>
    <row r="80" spans="33:40" ht="15" customHeight="1" x14ac:dyDescent="0.25">
      <c r="AG80" s="52"/>
      <c r="AH80" s="52"/>
      <c r="AI80" s="52"/>
      <c r="AJ80" s="52"/>
      <c r="AK80" s="52"/>
      <c r="AL80" s="52"/>
      <c r="AM80" s="52"/>
      <c r="AN80" s="52"/>
    </row>
    <row r="81" spans="33:40" ht="15" customHeight="1" x14ac:dyDescent="0.25">
      <c r="AG81" s="52"/>
      <c r="AH81" s="52"/>
      <c r="AI81" s="52"/>
      <c r="AJ81" s="52"/>
      <c r="AK81" s="52"/>
      <c r="AL81" s="52"/>
      <c r="AM81" s="52"/>
      <c r="AN81" s="52"/>
    </row>
    <row r="82" spans="33:40" ht="15" customHeight="1" x14ac:dyDescent="0.25">
      <c r="AG82" s="52"/>
      <c r="AH82" s="52"/>
      <c r="AI82" s="52"/>
      <c r="AJ82" s="52"/>
      <c r="AK82" s="52"/>
      <c r="AL82" s="52"/>
      <c r="AM82" s="52"/>
      <c r="AN82" s="52"/>
    </row>
    <row r="83" spans="33:40" ht="15" customHeight="1" x14ac:dyDescent="0.25">
      <c r="AG83" s="52"/>
      <c r="AH83" s="52"/>
      <c r="AI83" s="52"/>
      <c r="AJ83" s="52"/>
      <c r="AK83" s="52"/>
      <c r="AL83" s="52"/>
      <c r="AM83" s="52"/>
      <c r="AN83" s="52"/>
    </row>
    <row r="84" spans="33:40" ht="15" customHeight="1" x14ac:dyDescent="0.25">
      <c r="AG84" s="52"/>
      <c r="AH84" s="52"/>
      <c r="AI84" s="52"/>
      <c r="AJ84" s="52"/>
      <c r="AK84" s="52"/>
      <c r="AL84" s="52"/>
      <c r="AM84" s="52"/>
      <c r="AN84" s="52"/>
    </row>
    <row r="85" spans="33:40" ht="15" customHeight="1" x14ac:dyDescent="0.25">
      <c r="AG85" s="52"/>
      <c r="AH85" s="52"/>
      <c r="AI85" s="52"/>
      <c r="AJ85" s="52"/>
      <c r="AK85" s="52"/>
      <c r="AL85" s="52"/>
      <c r="AM85" s="52"/>
      <c r="AN85" s="52"/>
    </row>
    <row r="86" spans="33:40" ht="15" customHeight="1" x14ac:dyDescent="0.25">
      <c r="AG86" s="52"/>
      <c r="AH86" s="52"/>
      <c r="AI86" s="52"/>
      <c r="AJ86" s="52"/>
      <c r="AK86" s="52"/>
      <c r="AL86" s="52"/>
      <c r="AM86" s="52"/>
      <c r="AN86" s="52"/>
    </row>
    <row r="87" spans="33:40" ht="15" customHeight="1" x14ac:dyDescent="0.25">
      <c r="AG87" s="52"/>
      <c r="AH87" s="52"/>
      <c r="AI87" s="52"/>
      <c r="AJ87" s="52"/>
      <c r="AK87" s="52"/>
      <c r="AL87" s="52"/>
      <c r="AM87" s="52"/>
      <c r="AN87" s="52"/>
    </row>
    <row r="88" spans="33:40" ht="15" customHeight="1" x14ac:dyDescent="0.25">
      <c r="AG88" s="52"/>
      <c r="AH88" s="52"/>
      <c r="AI88" s="52"/>
      <c r="AJ88" s="52"/>
      <c r="AK88" s="52"/>
      <c r="AL88" s="52"/>
      <c r="AM88" s="52"/>
      <c r="AN88" s="52"/>
    </row>
    <row r="89" spans="33:40" ht="15" customHeight="1" x14ac:dyDescent="0.25">
      <c r="AG89" s="52"/>
      <c r="AH89" s="52"/>
      <c r="AI89" s="52"/>
      <c r="AJ89" s="52"/>
      <c r="AK89" s="52"/>
      <c r="AL89" s="52"/>
      <c r="AM89" s="52"/>
      <c r="AN89" s="52"/>
    </row>
    <row r="90" spans="33:40" ht="15" customHeight="1" x14ac:dyDescent="0.25">
      <c r="AG90" s="52"/>
      <c r="AH90" s="52"/>
      <c r="AI90" s="52"/>
      <c r="AJ90" s="52"/>
      <c r="AK90" s="52"/>
      <c r="AL90" s="52"/>
      <c r="AM90" s="52"/>
      <c r="AN90" s="52"/>
    </row>
    <row r="91" spans="33:40" ht="15" customHeight="1" x14ac:dyDescent="0.25">
      <c r="AG91" s="52"/>
      <c r="AH91" s="52"/>
      <c r="AI91" s="52"/>
      <c r="AJ91" s="52"/>
      <c r="AK91" s="52"/>
      <c r="AL91" s="52"/>
      <c r="AM91" s="52"/>
      <c r="AN91" s="52"/>
    </row>
    <row r="92" spans="33:40" ht="15" customHeight="1" x14ac:dyDescent="0.25">
      <c r="AG92" s="52"/>
      <c r="AH92" s="52"/>
      <c r="AI92" s="52"/>
      <c r="AJ92" s="52"/>
      <c r="AK92" s="52"/>
      <c r="AL92" s="52"/>
      <c r="AM92" s="52"/>
      <c r="AN92" s="52"/>
    </row>
    <row r="93" spans="33:40" ht="15" customHeight="1" x14ac:dyDescent="0.25">
      <c r="AG93" s="52"/>
      <c r="AH93" s="52"/>
      <c r="AI93" s="52"/>
      <c r="AJ93" s="52"/>
      <c r="AK93" s="52"/>
      <c r="AL93" s="52"/>
      <c r="AM93" s="52"/>
      <c r="AN93" s="52"/>
    </row>
    <row r="94" spans="33:40" ht="15" customHeight="1" x14ac:dyDescent="0.25">
      <c r="AG94" s="52"/>
      <c r="AH94" s="52"/>
      <c r="AI94" s="52"/>
      <c r="AJ94" s="52"/>
      <c r="AK94" s="52"/>
      <c r="AL94" s="52"/>
      <c r="AM94" s="52"/>
      <c r="AN94" s="52"/>
    </row>
    <row r="95" spans="33:40" ht="15" customHeight="1" x14ac:dyDescent="0.25">
      <c r="AG95" s="52"/>
      <c r="AH95" s="52"/>
      <c r="AI95" s="52"/>
      <c r="AJ95" s="52"/>
      <c r="AK95" s="52"/>
      <c r="AL95" s="52"/>
      <c r="AM95" s="52"/>
      <c r="AN95" s="52"/>
    </row>
    <row r="96" spans="33:40" ht="15" customHeight="1" x14ac:dyDescent="0.25">
      <c r="AG96" s="52"/>
      <c r="AH96" s="52"/>
      <c r="AI96" s="52"/>
      <c r="AJ96" s="52"/>
      <c r="AK96" s="52"/>
      <c r="AL96" s="52"/>
      <c r="AM96" s="52"/>
      <c r="AN96" s="52"/>
    </row>
    <row r="102" spans="33:40" ht="15" customHeight="1" x14ac:dyDescent="0.25">
      <c r="AG102" s="51" t="e">
        <f>(1-(GETPIVOTDATA("Reprovações",Resumo_Prod!$A$2)/GETPIVOTDATA("Aprovados (un)",Resumo_Prod!$A$2)))*100</f>
        <v>#DIV/0!</v>
      </c>
      <c r="AH102" s="51"/>
      <c r="AI102" s="51"/>
      <c r="AJ102" s="51"/>
      <c r="AK102" s="51"/>
      <c r="AL102" s="51"/>
      <c r="AM102" s="51"/>
      <c r="AN102" s="51"/>
    </row>
    <row r="103" spans="33:40" ht="15" customHeight="1" x14ac:dyDescent="0.25">
      <c r="AG103" s="51"/>
      <c r="AH103" s="51"/>
      <c r="AI103" s="51"/>
      <c r="AJ103" s="51"/>
      <c r="AK103" s="51"/>
      <c r="AL103" s="51"/>
      <c r="AM103" s="51"/>
      <c r="AN103" s="51"/>
    </row>
    <row r="104" spans="33:40" ht="15" customHeight="1" x14ac:dyDescent="0.25">
      <c r="AG104" s="51"/>
      <c r="AH104" s="51"/>
      <c r="AI104" s="51"/>
      <c r="AJ104" s="51"/>
      <c r="AK104" s="51"/>
      <c r="AL104" s="51"/>
      <c r="AM104" s="51"/>
      <c r="AN104" s="51"/>
    </row>
    <row r="105" spans="33:40" ht="15" customHeight="1" x14ac:dyDescent="0.25">
      <c r="AG105" s="51"/>
      <c r="AH105" s="51"/>
      <c r="AI105" s="51"/>
      <c r="AJ105" s="51"/>
      <c r="AK105" s="51"/>
      <c r="AL105" s="51"/>
      <c r="AM105" s="51"/>
      <c r="AN105" s="51"/>
    </row>
    <row r="106" spans="33:40" ht="15" customHeight="1" x14ac:dyDescent="0.25">
      <c r="AG106" s="51"/>
      <c r="AH106" s="51"/>
      <c r="AI106" s="51"/>
      <c r="AJ106" s="51"/>
      <c r="AK106" s="51"/>
      <c r="AL106" s="51"/>
      <c r="AM106" s="51"/>
      <c r="AN106" s="51"/>
    </row>
    <row r="107" spans="33:40" ht="15" customHeight="1" x14ac:dyDescent="0.25">
      <c r="AG107" s="51"/>
      <c r="AH107" s="51"/>
      <c r="AI107" s="51"/>
      <c r="AJ107" s="51"/>
      <c r="AK107" s="51"/>
      <c r="AL107" s="51"/>
      <c r="AM107" s="51"/>
      <c r="AN107" s="51"/>
    </row>
    <row r="108" spans="33:40" ht="15" customHeight="1" x14ac:dyDescent="0.25">
      <c r="AG108" s="51"/>
      <c r="AH108" s="51"/>
      <c r="AI108" s="51"/>
      <c r="AJ108" s="51"/>
      <c r="AK108" s="51"/>
      <c r="AL108" s="51"/>
      <c r="AM108" s="51"/>
      <c r="AN108" s="51"/>
    </row>
    <row r="109" spans="33:40" ht="15" customHeight="1" x14ac:dyDescent="0.25">
      <c r="AG109" s="51"/>
      <c r="AH109" s="51"/>
      <c r="AI109" s="51"/>
      <c r="AJ109" s="51"/>
      <c r="AK109" s="51"/>
      <c r="AL109" s="51"/>
      <c r="AM109" s="51"/>
      <c r="AN109" s="51"/>
    </row>
    <row r="110" spans="33:40" ht="15" customHeight="1" x14ac:dyDescent="0.25">
      <c r="AG110" s="51"/>
      <c r="AH110" s="51"/>
      <c r="AI110" s="51"/>
      <c r="AJ110" s="51"/>
      <c r="AK110" s="51"/>
      <c r="AL110" s="51"/>
      <c r="AM110" s="51"/>
      <c r="AN110" s="51"/>
    </row>
    <row r="111" spans="33:40" ht="15" customHeight="1" x14ac:dyDescent="0.25">
      <c r="AG111" s="51"/>
      <c r="AH111" s="51"/>
      <c r="AI111" s="51"/>
      <c r="AJ111" s="51"/>
      <c r="AK111" s="51"/>
      <c r="AL111" s="51"/>
      <c r="AM111" s="51"/>
      <c r="AN111" s="51"/>
    </row>
    <row r="112" spans="33:40" ht="15" customHeight="1" x14ac:dyDescent="0.25">
      <c r="AG112" s="51"/>
      <c r="AH112" s="51"/>
      <c r="AI112" s="51"/>
      <c r="AJ112" s="51"/>
      <c r="AK112" s="51"/>
      <c r="AL112" s="51"/>
      <c r="AM112" s="51"/>
      <c r="AN112" s="51"/>
    </row>
  </sheetData>
  <mergeCells count="3">
    <mergeCell ref="AG102:AN112"/>
    <mergeCell ref="AG78:AN96"/>
    <mergeCell ref="R6:AA6"/>
  </mergeCells>
  <conditionalFormatting sqref="AG102:AN112">
    <cfRule type="cellIs" dxfId="85" priority="1" operator="greaterThan">
      <formula>99.99</formula>
    </cfRule>
  </conditionalFormatting>
  <pageMargins left="0.511811024" right="0.511811024" top="0.78740157499999996" bottom="0.78740157499999996" header="0.31496062000000002" footer="0.31496062000000002"/>
  <pageSetup orientation="portrait" horizontalDpi="0" verticalDpi="0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4"/>
  <sheetViews>
    <sheetView showGridLines="0" zoomScaleNormal="100" workbookViewId="0">
      <selection activeCell="A4" sqref="A4:XFD4"/>
    </sheetView>
  </sheetViews>
  <sheetFormatPr defaultRowHeight="15.75" x14ac:dyDescent="0.25"/>
  <cols>
    <col min="1" max="1" width="24.875" style="20" customWidth="1"/>
    <col min="2" max="2" width="38.5" style="9" customWidth="1"/>
    <col min="3" max="3" width="21.5" style="9" customWidth="1"/>
    <col min="4" max="4" width="11.375" style="12" customWidth="1"/>
    <col min="5" max="5" width="12.25" style="12" customWidth="1"/>
    <col min="6" max="6" width="14.5" style="15" customWidth="1"/>
    <col min="7" max="7" width="15" style="15" customWidth="1"/>
    <col min="8" max="8" width="23" style="37" customWidth="1"/>
    <col min="9" max="9" width="26.75" style="37" customWidth="1"/>
    <col min="10" max="10" width="19.375" style="37" customWidth="1"/>
    <col min="11" max="11" width="23.875" style="18" customWidth="1"/>
    <col min="12" max="12" width="22.25" style="18" customWidth="1"/>
    <col min="13" max="13" width="55.5" style="18" customWidth="1"/>
    <col min="14" max="14" width="24.25" style="18" customWidth="1"/>
    <col min="15" max="15" width="21.5" style="15" customWidth="1"/>
    <col min="16" max="16" width="21.5" style="18" customWidth="1"/>
    <col min="17" max="17" width="19.375" style="18" customWidth="1"/>
    <col min="18" max="16384" width="9" style="5"/>
  </cols>
  <sheetData>
    <row r="1" spans="1:17" ht="15" x14ac:dyDescent="0.25">
      <c r="A1" s="7"/>
      <c r="B1" s="10"/>
      <c r="C1" s="10"/>
      <c r="D1" s="13"/>
      <c r="E1" s="13"/>
      <c r="F1" s="16"/>
      <c r="G1" s="16"/>
      <c r="H1" s="13"/>
      <c r="I1" s="35"/>
      <c r="J1" s="35"/>
      <c r="K1" s="19"/>
      <c r="L1" s="19"/>
      <c r="M1" s="19"/>
      <c r="N1" s="19"/>
      <c r="O1" s="16"/>
      <c r="P1" s="19"/>
      <c r="Q1" s="19"/>
    </row>
    <row r="2" spans="1:17" ht="30" x14ac:dyDescent="0.25">
      <c r="A2" s="14" t="s">
        <v>0</v>
      </c>
      <c r="B2" s="8" t="s">
        <v>30</v>
      </c>
      <c r="C2" s="8" t="s">
        <v>31</v>
      </c>
      <c r="D2" s="11" t="s">
        <v>2</v>
      </c>
      <c r="E2" s="11" t="s">
        <v>3</v>
      </c>
      <c r="F2" s="14" t="s">
        <v>4</v>
      </c>
      <c r="G2" s="14" t="s">
        <v>5</v>
      </c>
      <c r="H2" s="17" t="s">
        <v>13</v>
      </c>
      <c r="I2" s="36" t="s">
        <v>14</v>
      </c>
      <c r="J2" s="36" t="s">
        <v>15</v>
      </c>
      <c r="K2" s="14" t="s">
        <v>6</v>
      </c>
      <c r="L2" s="14" t="s">
        <v>7</v>
      </c>
      <c r="M2" s="14" t="s">
        <v>8</v>
      </c>
      <c r="N2" s="14" t="s">
        <v>9</v>
      </c>
      <c r="O2" s="14" t="s">
        <v>10</v>
      </c>
      <c r="P2" s="14" t="s">
        <v>11</v>
      </c>
      <c r="Q2" s="14" t="s">
        <v>12</v>
      </c>
    </row>
    <row r="3" spans="1:17" hidden="1" x14ac:dyDescent="0.25">
      <c r="A3" s="20">
        <v>0</v>
      </c>
      <c r="B3" s="9">
        <v>0</v>
      </c>
      <c r="C3" s="9">
        <v>0</v>
      </c>
      <c r="D3" s="12">
        <v>0</v>
      </c>
      <c r="E3" s="12">
        <v>0</v>
      </c>
      <c r="F3" s="15">
        <v>0</v>
      </c>
      <c r="G3" s="15" t="s">
        <v>48</v>
      </c>
      <c r="H3" s="37">
        <v>0</v>
      </c>
      <c r="I3" s="37">
        <v>0</v>
      </c>
      <c r="J3" s="37">
        <v>0</v>
      </c>
    </row>
    <row r="4" spans="1:17" hidden="1" x14ac:dyDescent="0.25">
      <c r="A4" s="20">
        <v>0</v>
      </c>
      <c r="B4" s="9">
        <v>0</v>
      </c>
      <c r="C4" s="9">
        <v>0</v>
      </c>
      <c r="D4" s="12">
        <v>0</v>
      </c>
      <c r="E4" s="12">
        <v>0</v>
      </c>
      <c r="F4" s="15">
        <v>0</v>
      </c>
      <c r="G4" s="15" t="s">
        <v>49</v>
      </c>
      <c r="H4" s="37">
        <v>0</v>
      </c>
      <c r="I4" s="37">
        <v>0</v>
      </c>
      <c r="J4" s="37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T97"/>
  <sheetViews>
    <sheetView showGridLines="0" zoomScaleNormal="100" workbookViewId="0">
      <selection activeCell="A3" sqref="A3"/>
    </sheetView>
  </sheetViews>
  <sheetFormatPr defaultRowHeight="15" x14ac:dyDescent="0.25"/>
  <cols>
    <col min="1" max="1" width="21.25" style="21" customWidth="1"/>
    <col min="2" max="2" width="10.625" style="22" customWidth="1"/>
    <col min="3" max="3" width="10.25" style="22" customWidth="1"/>
    <col min="4" max="4" width="17.375" style="22" customWidth="1"/>
    <col min="5" max="5" width="18.5" style="22" customWidth="1"/>
    <col min="6" max="6" width="16.125" style="22" customWidth="1"/>
    <col min="7" max="7" width="18" style="38" customWidth="1"/>
    <col min="8" max="8" width="14.625" style="38" customWidth="1"/>
    <col min="9" max="9" width="16.75" style="22" customWidth="1"/>
    <col min="10" max="10" width="16" style="22" customWidth="1"/>
    <col min="11" max="11" width="17.125" style="22" customWidth="1"/>
    <col min="12" max="12" width="15.625" style="22" customWidth="1"/>
    <col min="13" max="13" width="12.5" style="23" customWidth="1"/>
    <col min="14" max="14" width="14" style="23" customWidth="1"/>
    <col min="15" max="15" width="17.5" style="23" customWidth="1"/>
    <col min="16" max="16" width="18.25" style="23" customWidth="1"/>
    <col min="17" max="18" width="18.25" style="34" customWidth="1"/>
    <col min="19" max="20" width="9" style="29"/>
    <col min="21" max="16384" width="9" style="5"/>
  </cols>
  <sheetData>
    <row r="1" spans="1:20" s="6" customFormat="1" ht="28.5" x14ac:dyDescent="0.25">
      <c r="A1" s="25" t="s">
        <v>1</v>
      </c>
      <c r="B1" s="26" t="s">
        <v>2</v>
      </c>
      <c r="C1" s="26" t="s">
        <v>3</v>
      </c>
      <c r="D1" s="27" t="s">
        <v>18</v>
      </c>
      <c r="E1" s="27" t="s">
        <v>19</v>
      </c>
      <c r="F1" s="27" t="s">
        <v>22</v>
      </c>
      <c r="G1" s="39" t="s">
        <v>20</v>
      </c>
      <c r="H1" s="39" t="s">
        <v>21</v>
      </c>
      <c r="I1" s="27" t="s">
        <v>36</v>
      </c>
      <c r="J1" s="27" t="s">
        <v>37</v>
      </c>
      <c r="K1" s="27" t="s">
        <v>38</v>
      </c>
      <c r="L1" s="27" t="s">
        <v>39</v>
      </c>
      <c r="M1" s="28" t="s">
        <v>24</v>
      </c>
      <c r="N1" s="28" t="s">
        <v>23</v>
      </c>
      <c r="O1" s="28" t="s">
        <v>25</v>
      </c>
      <c r="P1" s="28" t="s">
        <v>26</v>
      </c>
      <c r="Q1" s="33" t="s">
        <v>53</v>
      </c>
      <c r="R1" s="33" t="s">
        <v>52</v>
      </c>
    </row>
    <row r="2" spans="1:20" hidden="1" x14ac:dyDescent="0.25">
      <c r="A2" s="21">
        <v>0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38">
        <v>0</v>
      </c>
      <c r="H2" s="38">
        <v>0</v>
      </c>
      <c r="I2" s="22">
        <v>0</v>
      </c>
      <c r="J2" s="22">
        <v>0</v>
      </c>
      <c r="K2" s="22">
        <v>0</v>
      </c>
      <c r="L2" s="22">
        <v>0</v>
      </c>
      <c r="M2" s="23">
        <v>0</v>
      </c>
      <c r="N2" s="23">
        <v>0</v>
      </c>
      <c r="O2" s="23">
        <v>0</v>
      </c>
      <c r="P2" s="23">
        <v>0</v>
      </c>
      <c r="Q2" s="38">
        <v>0</v>
      </c>
      <c r="R2" s="38">
        <v>0</v>
      </c>
      <c r="S2" s="5"/>
      <c r="T2" s="5"/>
    </row>
    <row r="3" spans="1:20" x14ac:dyDescent="0.25">
      <c r="S3" s="5"/>
      <c r="T3" s="5"/>
    </row>
    <row r="4" spans="1:20" x14ac:dyDescent="0.25">
      <c r="S4" s="5"/>
      <c r="T4" s="5"/>
    </row>
    <row r="5" spans="1:20" x14ac:dyDescent="0.25">
      <c r="S5" s="5"/>
      <c r="T5" s="5"/>
    </row>
    <row r="6" spans="1:20" x14ac:dyDescent="0.25">
      <c r="S6" s="5"/>
      <c r="T6" s="5"/>
    </row>
    <row r="7" spans="1:20" x14ac:dyDescent="0.25">
      <c r="S7" s="5"/>
      <c r="T7" s="5"/>
    </row>
    <row r="8" spans="1:20" x14ac:dyDescent="0.25">
      <c r="S8" s="5"/>
      <c r="T8" s="5"/>
    </row>
    <row r="9" spans="1:20" x14ac:dyDescent="0.25">
      <c r="S9" s="5"/>
      <c r="T9" s="5"/>
    </row>
    <row r="10" spans="1:20" x14ac:dyDescent="0.25">
      <c r="S10" s="5"/>
      <c r="T10" s="5"/>
    </row>
    <row r="11" spans="1:20" x14ac:dyDescent="0.25">
      <c r="S11" s="5"/>
      <c r="T11" s="5"/>
    </row>
    <row r="12" spans="1:20" x14ac:dyDescent="0.25">
      <c r="S12" s="5"/>
      <c r="T12" s="5"/>
    </row>
    <row r="13" spans="1:20" x14ac:dyDescent="0.25">
      <c r="S13" s="5"/>
      <c r="T13" s="5"/>
    </row>
    <row r="14" spans="1:20" x14ac:dyDescent="0.25">
      <c r="S14" s="5"/>
      <c r="T14" s="5"/>
    </row>
    <row r="15" spans="1:20" x14ac:dyDescent="0.25">
      <c r="S15" s="5"/>
      <c r="T15" s="5"/>
    </row>
    <row r="16" spans="1:20" x14ac:dyDescent="0.25">
      <c r="S16" s="5"/>
      <c r="T16" s="5"/>
    </row>
    <row r="17" spans="19:20" x14ac:dyDescent="0.25">
      <c r="S17" s="5"/>
      <c r="T17" s="5"/>
    </row>
    <row r="18" spans="19:20" x14ac:dyDescent="0.25">
      <c r="S18" s="5"/>
      <c r="T18" s="5"/>
    </row>
    <row r="19" spans="19:20" x14ac:dyDescent="0.25">
      <c r="S19" s="5"/>
      <c r="T19" s="5"/>
    </row>
    <row r="20" spans="19:20" x14ac:dyDescent="0.25">
      <c r="S20" s="5"/>
      <c r="T20" s="5"/>
    </row>
    <row r="21" spans="19:20" x14ac:dyDescent="0.25">
      <c r="S21" s="5"/>
      <c r="T21" s="5"/>
    </row>
    <row r="22" spans="19:20" x14ac:dyDescent="0.25">
      <c r="S22" s="5"/>
      <c r="T22" s="5"/>
    </row>
    <row r="23" spans="19:20" x14ac:dyDescent="0.25">
      <c r="S23" s="5"/>
      <c r="T23" s="5"/>
    </row>
    <row r="24" spans="19:20" x14ac:dyDescent="0.25">
      <c r="S24" s="5"/>
      <c r="T24" s="5"/>
    </row>
    <row r="25" spans="19:20" x14ac:dyDescent="0.25">
      <c r="S25" s="5"/>
      <c r="T25" s="5"/>
    </row>
    <row r="26" spans="19:20" x14ac:dyDescent="0.25">
      <c r="S26" s="5"/>
      <c r="T26" s="5"/>
    </row>
    <row r="27" spans="19:20" x14ac:dyDescent="0.25">
      <c r="S27" s="5"/>
      <c r="T27" s="5"/>
    </row>
    <row r="28" spans="19:20" x14ac:dyDescent="0.25">
      <c r="S28" s="5"/>
      <c r="T28" s="5"/>
    </row>
    <row r="29" spans="19:20" x14ac:dyDescent="0.25">
      <c r="S29" s="5"/>
      <c r="T29" s="5"/>
    </row>
    <row r="30" spans="19:20" x14ac:dyDescent="0.25">
      <c r="S30" s="5"/>
      <c r="T30" s="5"/>
    </row>
    <row r="31" spans="19:20" x14ac:dyDescent="0.25">
      <c r="S31" s="5"/>
      <c r="T31" s="5"/>
    </row>
    <row r="32" spans="19:20" x14ac:dyDescent="0.25">
      <c r="S32" s="5"/>
      <c r="T32" s="5"/>
    </row>
    <row r="33" spans="19:20" x14ac:dyDescent="0.25">
      <c r="S33" s="5"/>
      <c r="T33" s="5"/>
    </row>
    <row r="34" spans="19:20" x14ac:dyDescent="0.25">
      <c r="S34" s="5"/>
      <c r="T34" s="5"/>
    </row>
    <row r="35" spans="19:20" x14ac:dyDescent="0.25">
      <c r="S35" s="5"/>
      <c r="T35" s="5"/>
    </row>
    <row r="36" spans="19:20" x14ac:dyDescent="0.25">
      <c r="S36" s="5"/>
      <c r="T36" s="5"/>
    </row>
    <row r="37" spans="19:20" x14ac:dyDescent="0.25">
      <c r="S37" s="5"/>
      <c r="T37" s="5"/>
    </row>
    <row r="38" spans="19:20" x14ac:dyDescent="0.25">
      <c r="S38" s="5"/>
      <c r="T38" s="5"/>
    </row>
    <row r="39" spans="19:20" x14ac:dyDescent="0.25">
      <c r="S39" s="5"/>
      <c r="T39" s="5"/>
    </row>
    <row r="40" spans="19:20" x14ac:dyDescent="0.25">
      <c r="S40" s="5"/>
      <c r="T40" s="5"/>
    </row>
    <row r="41" spans="19:20" x14ac:dyDescent="0.25">
      <c r="S41" s="5"/>
      <c r="T41" s="5"/>
    </row>
    <row r="42" spans="19:20" x14ac:dyDescent="0.25">
      <c r="S42" s="5"/>
      <c r="T42" s="5"/>
    </row>
    <row r="43" spans="19:20" x14ac:dyDescent="0.25">
      <c r="S43" s="5"/>
      <c r="T43" s="5"/>
    </row>
    <row r="44" spans="19:20" x14ac:dyDescent="0.25">
      <c r="S44" s="5"/>
      <c r="T44" s="5"/>
    </row>
    <row r="45" spans="19:20" x14ac:dyDescent="0.25">
      <c r="S45" s="5"/>
      <c r="T45" s="5"/>
    </row>
    <row r="46" spans="19:20" x14ac:dyDescent="0.25">
      <c r="S46" s="5"/>
      <c r="T46" s="5"/>
    </row>
    <row r="47" spans="19:20" x14ac:dyDescent="0.25">
      <c r="S47" s="5"/>
      <c r="T47" s="5"/>
    </row>
    <row r="48" spans="19:20" x14ac:dyDescent="0.25">
      <c r="S48" s="5"/>
      <c r="T48" s="5"/>
    </row>
    <row r="49" spans="19:20" x14ac:dyDescent="0.25">
      <c r="S49" s="5"/>
      <c r="T49" s="5"/>
    </row>
    <row r="50" spans="19:20" x14ac:dyDescent="0.25">
      <c r="S50" s="5"/>
      <c r="T50" s="5"/>
    </row>
    <row r="51" spans="19:20" x14ac:dyDescent="0.25">
      <c r="S51" s="5"/>
      <c r="T51" s="5"/>
    </row>
    <row r="52" spans="19:20" x14ac:dyDescent="0.25">
      <c r="S52" s="5"/>
      <c r="T52" s="5"/>
    </row>
    <row r="53" spans="19:20" x14ac:dyDescent="0.25">
      <c r="S53" s="5"/>
      <c r="T53" s="5"/>
    </row>
    <row r="54" spans="19:20" x14ac:dyDescent="0.25">
      <c r="S54" s="5"/>
      <c r="T54" s="5"/>
    </row>
    <row r="55" spans="19:20" x14ac:dyDescent="0.25">
      <c r="S55" s="5"/>
      <c r="T55" s="5"/>
    </row>
    <row r="56" spans="19:20" x14ac:dyDescent="0.25">
      <c r="S56" s="5"/>
      <c r="T56" s="5"/>
    </row>
    <row r="57" spans="19:20" x14ac:dyDescent="0.25">
      <c r="S57" s="5"/>
      <c r="T57" s="5"/>
    </row>
    <row r="58" spans="19:20" x14ac:dyDescent="0.25">
      <c r="S58" s="5"/>
      <c r="T58" s="5"/>
    </row>
    <row r="59" spans="19:20" x14ac:dyDescent="0.25">
      <c r="S59" s="5"/>
      <c r="T59" s="5"/>
    </row>
    <row r="60" spans="19:20" x14ac:dyDescent="0.25">
      <c r="S60" s="5"/>
      <c r="T60" s="5"/>
    </row>
    <row r="61" spans="19:20" x14ac:dyDescent="0.25">
      <c r="S61" s="5"/>
      <c r="T61" s="5"/>
    </row>
    <row r="62" spans="19:20" x14ac:dyDescent="0.25">
      <c r="S62" s="5"/>
      <c r="T62" s="5"/>
    </row>
    <row r="63" spans="19:20" x14ac:dyDescent="0.25">
      <c r="S63" s="5"/>
      <c r="T63" s="5"/>
    </row>
    <row r="64" spans="19:20" x14ac:dyDescent="0.25">
      <c r="S64" s="5"/>
      <c r="T64" s="5"/>
    </row>
    <row r="65" spans="19:20" x14ac:dyDescent="0.25">
      <c r="S65" s="5"/>
      <c r="T65" s="5"/>
    </row>
    <row r="66" spans="19:20" x14ac:dyDescent="0.25">
      <c r="S66" s="5"/>
      <c r="T66" s="5"/>
    </row>
    <row r="67" spans="19:20" x14ac:dyDescent="0.25">
      <c r="S67" s="5"/>
      <c r="T67" s="5"/>
    </row>
    <row r="68" spans="19:20" x14ac:dyDescent="0.25">
      <c r="S68" s="5"/>
      <c r="T68" s="5"/>
    </row>
    <row r="69" spans="19:20" x14ac:dyDescent="0.25">
      <c r="S69" s="5"/>
      <c r="T69" s="5"/>
    </row>
    <row r="70" spans="19:20" x14ac:dyDescent="0.25">
      <c r="S70" s="5"/>
      <c r="T70" s="5"/>
    </row>
    <row r="71" spans="19:20" x14ac:dyDescent="0.25">
      <c r="S71" s="5"/>
      <c r="T71" s="5"/>
    </row>
    <row r="72" spans="19:20" x14ac:dyDescent="0.25">
      <c r="S72" s="5"/>
      <c r="T72" s="5"/>
    </row>
    <row r="73" spans="19:20" x14ac:dyDescent="0.25">
      <c r="S73" s="5"/>
      <c r="T73" s="5"/>
    </row>
    <row r="74" spans="19:20" x14ac:dyDescent="0.25">
      <c r="S74" s="5"/>
      <c r="T74" s="5"/>
    </row>
    <row r="75" spans="19:20" x14ac:dyDescent="0.25">
      <c r="S75" s="5"/>
      <c r="T75" s="5"/>
    </row>
    <row r="76" spans="19:20" x14ac:dyDescent="0.25">
      <c r="S76" s="5"/>
      <c r="T76" s="5"/>
    </row>
    <row r="77" spans="19:20" x14ac:dyDescent="0.25">
      <c r="S77" s="5"/>
      <c r="T77" s="5"/>
    </row>
    <row r="78" spans="19:20" x14ac:dyDescent="0.25">
      <c r="S78" s="5"/>
      <c r="T78" s="5"/>
    </row>
    <row r="79" spans="19:20" x14ac:dyDescent="0.25">
      <c r="S79" s="5"/>
      <c r="T79" s="5"/>
    </row>
    <row r="80" spans="19:20" x14ac:dyDescent="0.25">
      <c r="S80" s="5"/>
      <c r="T80" s="5"/>
    </row>
    <row r="81" spans="19:20" x14ac:dyDescent="0.25">
      <c r="S81" s="5"/>
      <c r="T81" s="5"/>
    </row>
    <row r="82" spans="19:20" x14ac:dyDescent="0.25">
      <c r="S82" s="5"/>
      <c r="T82" s="5"/>
    </row>
    <row r="83" spans="19:20" x14ac:dyDescent="0.25">
      <c r="S83" s="5"/>
      <c r="T83" s="5"/>
    </row>
    <row r="84" spans="19:20" x14ac:dyDescent="0.25">
      <c r="S84" s="5"/>
      <c r="T84" s="5"/>
    </row>
    <row r="85" spans="19:20" x14ac:dyDescent="0.25">
      <c r="S85" s="5"/>
      <c r="T85" s="5"/>
    </row>
    <row r="86" spans="19:20" x14ac:dyDescent="0.25">
      <c r="S86" s="5"/>
      <c r="T86" s="5"/>
    </row>
    <row r="87" spans="19:20" x14ac:dyDescent="0.25">
      <c r="S87" s="5"/>
      <c r="T87" s="5"/>
    </row>
    <row r="88" spans="19:20" x14ac:dyDescent="0.25">
      <c r="S88" s="5"/>
      <c r="T88" s="5"/>
    </row>
    <row r="89" spans="19:20" x14ac:dyDescent="0.25">
      <c r="S89" s="5"/>
      <c r="T89" s="5"/>
    </row>
    <row r="90" spans="19:20" x14ac:dyDescent="0.25">
      <c r="S90" s="5"/>
      <c r="T90" s="5"/>
    </row>
    <row r="91" spans="19:20" x14ac:dyDescent="0.25">
      <c r="S91" s="5"/>
      <c r="T91" s="5"/>
    </row>
    <row r="92" spans="19:20" x14ac:dyDescent="0.25">
      <c r="S92" s="5"/>
      <c r="T92" s="5"/>
    </row>
    <row r="93" spans="19:20" x14ac:dyDescent="0.25">
      <c r="S93" s="5"/>
      <c r="T93" s="5"/>
    </row>
    <row r="94" spans="19:20" x14ac:dyDescent="0.25">
      <c r="S94" s="5"/>
      <c r="T94" s="5"/>
    </row>
    <row r="95" spans="19:20" x14ac:dyDescent="0.25">
      <c r="S95" s="5"/>
      <c r="T95" s="5"/>
    </row>
    <row r="96" spans="19:20" x14ac:dyDescent="0.25">
      <c r="S96" s="5"/>
      <c r="T96" s="5"/>
    </row>
    <row r="97" spans="19:20" x14ac:dyDescent="0.25">
      <c r="S97" s="5"/>
      <c r="T97" s="5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D3"/>
  <sheetViews>
    <sheetView workbookViewId="0">
      <selection activeCell="A4" sqref="A4"/>
    </sheetView>
  </sheetViews>
  <sheetFormatPr defaultRowHeight="15" x14ac:dyDescent="0.25"/>
  <cols>
    <col min="1" max="1" width="23.625" style="32" customWidth="1"/>
    <col min="2" max="2" width="16" style="30" customWidth="1"/>
    <col min="3" max="3" width="25.25" style="30" customWidth="1"/>
    <col min="4" max="4" width="17.875" style="31" customWidth="1"/>
  </cols>
  <sheetData>
    <row r="2" spans="1:4" x14ac:dyDescent="0.25">
      <c r="A2" s="32" t="s">
        <v>1</v>
      </c>
      <c r="B2" s="30" t="s">
        <v>32</v>
      </c>
      <c r="C2" s="30" t="s">
        <v>33</v>
      </c>
      <c r="D2" s="31" t="s">
        <v>34</v>
      </c>
    </row>
    <row r="3" spans="1:4" hidden="1" x14ac:dyDescent="0.25">
      <c r="A3" s="32">
        <v>0</v>
      </c>
      <c r="B3" s="30">
        <v>0</v>
      </c>
      <c r="C3" s="30">
        <v>0</v>
      </c>
      <c r="D3" s="31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56"/>
  <sheetViews>
    <sheetView showGridLines="0" workbookViewId="0">
      <selection activeCell="A3" sqref="A3"/>
    </sheetView>
  </sheetViews>
  <sheetFormatPr defaultRowHeight="15" x14ac:dyDescent="0.25"/>
  <cols>
    <col min="1" max="1" width="13.25" bestFit="1" customWidth="1"/>
    <col min="2" max="2" width="15.25" customWidth="1"/>
    <col min="3" max="3" width="18.875" customWidth="1"/>
    <col min="4" max="4" width="7.375" customWidth="1"/>
    <col min="5" max="5" width="10.125" customWidth="1"/>
    <col min="6" max="6" width="10.75" customWidth="1"/>
    <col min="7" max="7" width="4" customWidth="1"/>
    <col min="8" max="8" width="18.625" customWidth="1"/>
    <col min="9" max="9" width="16.125" customWidth="1"/>
    <col min="10" max="10" width="18.875" customWidth="1"/>
  </cols>
  <sheetData>
    <row r="1" spans="1:10" x14ac:dyDescent="0.25">
      <c r="A1" s="1" t="s">
        <v>5</v>
      </c>
      <c r="B1" t="s">
        <v>49</v>
      </c>
    </row>
    <row r="3" spans="1:10" x14ac:dyDescent="0.25">
      <c r="A3" s="1" t="s">
        <v>60</v>
      </c>
      <c r="B3" t="s">
        <v>17</v>
      </c>
      <c r="C3" t="s">
        <v>16</v>
      </c>
    </row>
    <row r="4" spans="1:10" x14ac:dyDescent="0.25">
      <c r="A4" s="2" t="s">
        <v>61</v>
      </c>
      <c r="B4" s="3"/>
      <c r="C4" s="3"/>
      <c r="H4" s="2"/>
      <c r="I4" s="3"/>
      <c r="J4" s="3"/>
    </row>
    <row r="5" spans="1:10" x14ac:dyDescent="0.25">
      <c r="H5" s="2"/>
      <c r="I5" s="3"/>
      <c r="J5" s="3"/>
    </row>
    <row r="6" spans="1:10" x14ac:dyDescent="0.25">
      <c r="H6" s="2"/>
      <c r="I6" s="3"/>
      <c r="J6" s="3"/>
    </row>
    <row r="7" spans="1:10" x14ac:dyDescent="0.25">
      <c r="H7" s="2"/>
      <c r="I7" s="3"/>
      <c r="J7" s="3"/>
    </row>
    <row r="8" spans="1:10" x14ac:dyDescent="0.25">
      <c r="H8" s="2"/>
      <c r="I8" s="3"/>
      <c r="J8" s="3"/>
    </row>
    <row r="9" spans="1:10" x14ac:dyDescent="0.25">
      <c r="H9" s="2"/>
      <c r="I9" s="3"/>
      <c r="J9" s="3"/>
    </row>
    <row r="10" spans="1:10" x14ac:dyDescent="0.25">
      <c r="H10" s="2"/>
      <c r="I10" s="3"/>
      <c r="J10" s="3"/>
    </row>
    <row r="11" spans="1:10" x14ac:dyDescent="0.25">
      <c r="H11" s="2"/>
      <c r="I11" s="3"/>
      <c r="J11" s="3"/>
    </row>
    <row r="12" spans="1:10" x14ac:dyDescent="0.25">
      <c r="H12" s="2"/>
      <c r="I12" s="3"/>
      <c r="J12" s="3"/>
    </row>
    <row r="13" spans="1:10" x14ac:dyDescent="0.25">
      <c r="H13" s="2"/>
      <c r="I13" s="3"/>
      <c r="J13" s="3"/>
    </row>
    <row r="14" spans="1:10" x14ac:dyDescent="0.25">
      <c r="H14" s="2"/>
      <c r="I14" s="3"/>
      <c r="J14" s="3"/>
    </row>
    <row r="15" spans="1:10" x14ac:dyDescent="0.25">
      <c r="H15" s="2"/>
      <c r="I15" s="3"/>
      <c r="J15" s="3"/>
    </row>
    <row r="16" spans="1:10" x14ac:dyDescent="0.25">
      <c r="H16" s="2"/>
      <c r="I16" s="3"/>
      <c r="J16" s="3"/>
    </row>
    <row r="38" spans="1:2" x14ac:dyDescent="0.25">
      <c r="A38" s="2"/>
      <c r="B38" s="3"/>
    </row>
    <row r="39" spans="1:2" x14ac:dyDescent="0.25">
      <c r="A39" s="2"/>
      <c r="B39" s="3"/>
    </row>
    <row r="55" spans="1:2" x14ac:dyDescent="0.25">
      <c r="A55" s="2"/>
      <c r="B55" s="3"/>
    </row>
    <row r="56" spans="1:2" x14ac:dyDescent="0.25">
      <c r="A56" s="2"/>
      <c r="B56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56"/>
  <sheetViews>
    <sheetView showGridLines="0" workbookViewId="0">
      <selection activeCell="A3" sqref="A3"/>
    </sheetView>
  </sheetViews>
  <sheetFormatPr defaultRowHeight="15" x14ac:dyDescent="0.25"/>
  <cols>
    <col min="1" max="1" width="26.5" customWidth="1"/>
    <col min="2" max="2" width="16.625" bestFit="1" customWidth="1"/>
    <col min="3" max="3" width="11.875" bestFit="1" customWidth="1"/>
    <col min="4" max="4" width="16.625" customWidth="1"/>
    <col min="5" max="5" width="11.125" customWidth="1"/>
    <col min="6" max="6" width="16.625" customWidth="1"/>
    <col min="7" max="8" width="11.125" customWidth="1"/>
    <col min="9" max="9" width="23.25" customWidth="1"/>
    <col min="10" max="10" width="9.375" customWidth="1"/>
    <col min="11" max="11" width="16.625" customWidth="1"/>
    <col min="12" max="12" width="12.5" customWidth="1"/>
    <col min="13" max="13" width="11.125" bestFit="1" customWidth="1"/>
  </cols>
  <sheetData>
    <row r="1" spans="1:3" x14ac:dyDescent="0.25">
      <c r="A1" s="1" t="s">
        <v>5</v>
      </c>
      <c r="B1" t="s">
        <v>50</v>
      </c>
    </row>
    <row r="3" spans="1:3" x14ac:dyDescent="0.25">
      <c r="A3" s="1" t="s">
        <v>54</v>
      </c>
      <c r="B3" s="1" t="s">
        <v>62</v>
      </c>
    </row>
    <row r="4" spans="1:3" x14ac:dyDescent="0.25">
      <c r="A4" s="1" t="s">
        <v>60</v>
      </c>
      <c r="B4" s="50" t="s">
        <v>59</v>
      </c>
      <c r="C4" t="s">
        <v>61</v>
      </c>
    </row>
    <row r="5" spans="1:3" x14ac:dyDescent="0.25">
      <c r="A5" s="2" t="s">
        <v>63</v>
      </c>
      <c r="B5" s="4">
        <v>0</v>
      </c>
      <c r="C5" s="4">
        <v>0</v>
      </c>
    </row>
    <row r="6" spans="1:3" x14ac:dyDescent="0.25">
      <c r="A6" s="2" t="s">
        <v>61</v>
      </c>
      <c r="B6" s="4">
        <v>0</v>
      </c>
      <c r="C6" s="4">
        <v>0</v>
      </c>
    </row>
    <row r="55" spans="1:2" x14ac:dyDescent="0.25">
      <c r="A55" s="2"/>
      <c r="B55" s="3"/>
    </row>
    <row r="56" spans="1:2" x14ac:dyDescent="0.25">
      <c r="A56" s="2"/>
      <c r="B56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B56"/>
  <sheetViews>
    <sheetView showGridLines="0" workbookViewId="0">
      <selection activeCell="A2" sqref="A2"/>
    </sheetView>
  </sheetViews>
  <sheetFormatPr defaultRowHeight="15" x14ac:dyDescent="0.25"/>
  <cols>
    <col min="1" max="1" width="15" bestFit="1" customWidth="1"/>
    <col min="2" max="2" width="26.5" customWidth="1"/>
    <col min="3" max="3" width="11.125" customWidth="1"/>
    <col min="4" max="4" width="11.5" customWidth="1"/>
    <col min="5" max="5" width="9.375" customWidth="1"/>
    <col min="6" max="6" width="16.625" customWidth="1"/>
    <col min="7" max="7" width="11.125" customWidth="1"/>
    <col min="8" max="8" width="3" customWidth="1"/>
    <col min="9" max="10" width="11.125" customWidth="1"/>
  </cols>
  <sheetData>
    <row r="2" spans="1:2" x14ac:dyDescent="0.25">
      <c r="A2" s="1" t="s">
        <v>5</v>
      </c>
      <c r="B2" t="s">
        <v>48</v>
      </c>
    </row>
    <row r="4" spans="1:2" x14ac:dyDescent="0.25">
      <c r="A4" s="1" t="s">
        <v>60</v>
      </c>
      <c r="B4" t="s">
        <v>54</v>
      </c>
    </row>
    <row r="5" spans="1:2" x14ac:dyDescent="0.25">
      <c r="A5" s="2" t="s">
        <v>59</v>
      </c>
      <c r="B5" s="3">
        <v>0</v>
      </c>
    </row>
    <row r="55" spans="1:2" x14ac:dyDescent="0.25">
      <c r="A55" s="2"/>
      <c r="B55" s="3"/>
    </row>
    <row r="56" spans="1:2" x14ac:dyDescent="0.25">
      <c r="A56" s="2"/>
      <c r="B56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G5"/>
  <sheetViews>
    <sheetView showGridLines="0" workbookViewId="0">
      <selection activeCell="C41" sqref="C41"/>
    </sheetView>
  </sheetViews>
  <sheetFormatPr defaultRowHeight="15" x14ac:dyDescent="0.25"/>
  <cols>
    <col min="1" max="1" width="13.25" bestFit="1" customWidth="1"/>
    <col min="2" max="2" width="19.25" bestFit="1" customWidth="1"/>
    <col min="3" max="3" width="18.875" customWidth="1"/>
    <col min="4" max="4" width="7.375" customWidth="1"/>
    <col min="5" max="5" width="10.125" customWidth="1"/>
    <col min="6" max="6" width="18.625" customWidth="1"/>
    <col min="7" max="7" width="30.875" customWidth="1"/>
    <col min="8" max="8" width="3" customWidth="1"/>
    <col min="9" max="10" width="11.125" customWidth="1"/>
  </cols>
  <sheetData>
    <row r="2" spans="1:7" x14ac:dyDescent="0.25">
      <c r="A2" s="1" t="s">
        <v>60</v>
      </c>
      <c r="B2" t="s">
        <v>57</v>
      </c>
    </row>
    <row r="3" spans="1:7" x14ac:dyDescent="0.25">
      <c r="A3" s="2" t="s">
        <v>61</v>
      </c>
      <c r="B3" s="3">
        <v>0</v>
      </c>
      <c r="F3" s="2"/>
      <c r="G3" s="3"/>
    </row>
    <row r="4" spans="1:7" x14ac:dyDescent="0.25">
      <c r="F4" s="2"/>
      <c r="G4" s="3"/>
    </row>
    <row r="5" spans="1:7" x14ac:dyDescent="0.25">
      <c r="F5" s="2"/>
      <c r="G5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L140"/>
  <sheetViews>
    <sheetView showGridLines="0" workbookViewId="0"/>
  </sheetViews>
  <sheetFormatPr defaultRowHeight="15" x14ac:dyDescent="0.25"/>
  <cols>
    <col min="1" max="1" width="13.25" bestFit="1" customWidth="1"/>
    <col min="2" max="2" width="13.375" customWidth="1"/>
    <col min="3" max="3" width="19.25" customWidth="1"/>
    <col min="4" max="4" width="13.875" customWidth="1"/>
    <col min="5" max="5" width="8.375" customWidth="1"/>
    <col min="8" max="8" width="18.625" bestFit="1" customWidth="1"/>
    <col min="9" max="9" width="9.75" customWidth="1"/>
    <col min="10" max="10" width="15.625" customWidth="1"/>
    <col min="11" max="11" width="10.25" customWidth="1"/>
    <col min="12" max="12" width="9" customWidth="1"/>
  </cols>
  <sheetData>
    <row r="1" spans="1:12" x14ac:dyDescent="0.25">
      <c r="A1" s="1" t="s">
        <v>60</v>
      </c>
      <c r="B1" t="s">
        <v>40</v>
      </c>
      <c r="C1" t="s">
        <v>41</v>
      </c>
      <c r="D1" t="s">
        <v>42</v>
      </c>
      <c r="E1" t="s">
        <v>43</v>
      </c>
      <c r="L1" s="24"/>
    </row>
    <row r="2" spans="1:12" x14ac:dyDescent="0.25">
      <c r="A2" s="44">
        <v>0</v>
      </c>
      <c r="B2" s="3">
        <v>0</v>
      </c>
      <c r="C2" s="3">
        <v>0</v>
      </c>
      <c r="D2" s="3">
        <v>0</v>
      </c>
      <c r="E2" s="3">
        <v>0</v>
      </c>
      <c r="H2" s="2"/>
      <c r="I2" s="3"/>
      <c r="J2" s="3"/>
      <c r="K2" s="3"/>
      <c r="L2" s="3"/>
    </row>
    <row r="3" spans="1:12" x14ac:dyDescent="0.25">
      <c r="A3" s="2" t="s">
        <v>61</v>
      </c>
      <c r="B3" s="3">
        <v>0</v>
      </c>
      <c r="C3" s="3">
        <v>0</v>
      </c>
      <c r="D3" s="3">
        <v>0</v>
      </c>
      <c r="E3" s="3">
        <v>0</v>
      </c>
      <c r="H3" s="2"/>
      <c r="I3" s="3"/>
      <c r="J3" s="3"/>
      <c r="K3" s="3"/>
      <c r="L3" s="3"/>
    </row>
    <row r="4" spans="1:12" x14ac:dyDescent="0.25">
      <c r="H4" s="2"/>
      <c r="I4" s="3"/>
      <c r="J4" s="3"/>
      <c r="K4" s="3"/>
      <c r="L4" s="3"/>
    </row>
    <row r="5" spans="1:12" x14ac:dyDescent="0.25">
      <c r="H5" s="2"/>
      <c r="I5" s="3"/>
      <c r="J5" s="3"/>
      <c r="K5" s="3"/>
      <c r="L5" s="3"/>
    </row>
    <row r="6" spans="1:12" x14ac:dyDescent="0.25">
      <c r="H6" s="2"/>
      <c r="I6" s="3"/>
      <c r="J6" s="3"/>
      <c r="K6" s="3"/>
      <c r="L6" s="3"/>
    </row>
    <row r="7" spans="1:12" x14ac:dyDescent="0.25">
      <c r="H7" s="2"/>
      <c r="I7" s="3"/>
      <c r="J7" s="3"/>
      <c r="K7" s="3"/>
      <c r="L7" s="3"/>
    </row>
    <row r="8" spans="1:12" x14ac:dyDescent="0.25">
      <c r="H8" s="2"/>
      <c r="I8" s="3"/>
      <c r="J8" s="3"/>
      <c r="K8" s="3"/>
      <c r="L8" s="3"/>
    </row>
    <row r="9" spans="1:12" x14ac:dyDescent="0.25">
      <c r="H9" s="2"/>
      <c r="I9" s="3"/>
      <c r="J9" s="3"/>
      <c r="K9" s="3"/>
      <c r="L9" s="3"/>
    </row>
    <row r="10" spans="1:12" x14ac:dyDescent="0.25">
      <c r="H10" s="2"/>
      <c r="I10" s="3"/>
      <c r="J10" s="3"/>
      <c r="K10" s="3"/>
      <c r="L10" s="3"/>
    </row>
    <row r="11" spans="1:12" x14ac:dyDescent="0.25">
      <c r="H11" s="2"/>
      <c r="I11" s="3"/>
      <c r="J11" s="3"/>
      <c r="K11" s="3"/>
      <c r="L11" s="3"/>
    </row>
    <row r="12" spans="1:12" x14ac:dyDescent="0.25">
      <c r="H12" s="2"/>
      <c r="I12" s="3"/>
      <c r="J12" s="3"/>
      <c r="K12" s="3"/>
      <c r="L12" s="3"/>
    </row>
    <row r="13" spans="1:12" x14ac:dyDescent="0.25">
      <c r="H13" s="2"/>
      <c r="I13" s="3"/>
      <c r="J13" s="3"/>
      <c r="K13" s="3"/>
      <c r="L13" s="3"/>
    </row>
    <row r="14" spans="1:12" x14ac:dyDescent="0.25">
      <c r="H14" s="2"/>
      <c r="I14" s="3"/>
      <c r="J14" s="3"/>
      <c r="K14" s="3"/>
      <c r="L14" s="3"/>
    </row>
    <row r="15" spans="1:12" x14ac:dyDescent="0.25">
      <c r="H15" s="2"/>
      <c r="I15" s="3"/>
      <c r="J15" s="3"/>
      <c r="K15" s="3"/>
      <c r="L15" s="3"/>
    </row>
    <row r="16" spans="1:12" x14ac:dyDescent="0.25">
      <c r="H16" s="2"/>
      <c r="I16" s="3"/>
      <c r="J16" s="3"/>
      <c r="K16" s="3"/>
      <c r="L16" s="3"/>
    </row>
    <row r="17" spans="8:12" x14ac:dyDescent="0.25">
      <c r="H17" s="2"/>
      <c r="I17" s="3"/>
      <c r="J17" s="3"/>
      <c r="K17" s="3"/>
      <c r="L17" s="3"/>
    </row>
    <row r="18" spans="8:12" x14ac:dyDescent="0.25">
      <c r="H18" s="2"/>
      <c r="I18" s="3"/>
      <c r="J18" s="3"/>
      <c r="K18" s="3"/>
      <c r="L18" s="3"/>
    </row>
    <row r="19" spans="8:12" x14ac:dyDescent="0.25">
      <c r="H19" s="2"/>
      <c r="I19" s="3"/>
      <c r="J19" s="3"/>
      <c r="K19" s="3"/>
      <c r="L19" s="3"/>
    </row>
    <row r="20" spans="8:12" x14ac:dyDescent="0.25">
      <c r="H20" s="2"/>
      <c r="I20" s="3"/>
      <c r="J20" s="3"/>
      <c r="K20" s="3"/>
      <c r="L20" s="3"/>
    </row>
    <row r="21" spans="8:12" x14ac:dyDescent="0.25">
      <c r="H21" s="2"/>
      <c r="I21" s="3"/>
      <c r="J21" s="3"/>
      <c r="K21" s="3"/>
      <c r="L21" s="3"/>
    </row>
    <row r="22" spans="8:12" x14ac:dyDescent="0.25">
      <c r="H22" s="2"/>
      <c r="I22" s="3"/>
      <c r="J22" s="3"/>
      <c r="K22" s="3"/>
      <c r="L22" s="3"/>
    </row>
    <row r="23" spans="8:12" x14ac:dyDescent="0.25">
      <c r="H23" s="2"/>
      <c r="I23" s="3"/>
      <c r="J23" s="3"/>
      <c r="K23" s="3"/>
      <c r="L23" s="3"/>
    </row>
    <row r="24" spans="8:12" x14ac:dyDescent="0.25">
      <c r="H24" s="2"/>
      <c r="I24" s="3"/>
      <c r="J24" s="3"/>
      <c r="K24" s="3"/>
      <c r="L24" s="3"/>
    </row>
    <row r="25" spans="8:12" x14ac:dyDescent="0.25">
      <c r="H25" s="2"/>
      <c r="I25" s="3"/>
      <c r="J25" s="3"/>
      <c r="K25" s="3"/>
      <c r="L25" s="3"/>
    </row>
    <row r="26" spans="8:12" x14ac:dyDescent="0.25">
      <c r="H26" s="2"/>
      <c r="I26" s="3"/>
      <c r="J26" s="3"/>
      <c r="K26" s="3"/>
      <c r="L26" s="3"/>
    </row>
    <row r="27" spans="8:12" x14ac:dyDescent="0.25">
      <c r="H27" s="2"/>
      <c r="I27" s="3"/>
      <c r="J27" s="3"/>
      <c r="K27" s="3"/>
      <c r="L27" s="3"/>
    </row>
    <row r="28" spans="8:12" x14ac:dyDescent="0.25">
      <c r="H28" s="2"/>
      <c r="I28" s="3"/>
      <c r="J28" s="3"/>
      <c r="K28" s="3"/>
      <c r="L28" s="3"/>
    </row>
    <row r="29" spans="8:12" x14ac:dyDescent="0.25">
      <c r="H29" s="2"/>
      <c r="I29" s="3"/>
      <c r="J29" s="3"/>
      <c r="K29" s="3"/>
      <c r="L29" s="3"/>
    </row>
    <row r="30" spans="8:12" x14ac:dyDescent="0.25">
      <c r="H30" s="2"/>
      <c r="I30" s="3"/>
      <c r="J30" s="3"/>
      <c r="K30" s="3"/>
      <c r="L30" s="3"/>
    </row>
    <row r="31" spans="8:12" x14ac:dyDescent="0.25">
      <c r="H31" s="2"/>
      <c r="I31" s="3"/>
      <c r="J31" s="3"/>
      <c r="K31" s="3"/>
      <c r="L31" s="3"/>
    </row>
    <row r="32" spans="8:12" x14ac:dyDescent="0.25">
      <c r="H32" s="2"/>
      <c r="I32" s="3"/>
      <c r="J32" s="3"/>
      <c r="K32" s="3"/>
      <c r="L32" s="3"/>
    </row>
    <row r="33" spans="8:12" x14ac:dyDescent="0.25">
      <c r="H33" s="2"/>
      <c r="I33" s="3"/>
      <c r="J33" s="3"/>
      <c r="K33" s="3"/>
      <c r="L33" s="3"/>
    </row>
    <row r="34" spans="8:12" x14ac:dyDescent="0.25">
      <c r="H34" s="2"/>
      <c r="I34" s="3"/>
      <c r="J34" s="3"/>
      <c r="K34" s="3"/>
      <c r="L34" s="3"/>
    </row>
    <row r="35" spans="8:12" x14ac:dyDescent="0.25">
      <c r="H35" s="2"/>
      <c r="I35" s="3"/>
      <c r="J35" s="3"/>
      <c r="K35" s="3"/>
      <c r="L35" s="3"/>
    </row>
    <row r="36" spans="8:12" x14ac:dyDescent="0.25">
      <c r="H36" s="2"/>
      <c r="I36" s="3"/>
      <c r="J36" s="3"/>
      <c r="K36" s="3"/>
      <c r="L36" s="3"/>
    </row>
    <row r="37" spans="8:12" x14ac:dyDescent="0.25">
      <c r="H37" s="2"/>
      <c r="I37" s="3"/>
      <c r="J37" s="3"/>
      <c r="K37" s="3"/>
      <c r="L37" s="3"/>
    </row>
    <row r="38" spans="8:12" x14ac:dyDescent="0.25">
      <c r="H38" s="2"/>
      <c r="I38" s="3"/>
      <c r="J38" s="3"/>
      <c r="K38" s="3"/>
      <c r="L38" s="3"/>
    </row>
    <row r="39" spans="8:12" x14ac:dyDescent="0.25">
      <c r="H39" s="2"/>
      <c r="I39" s="3"/>
      <c r="J39" s="3"/>
      <c r="K39" s="3"/>
      <c r="L39" s="3"/>
    </row>
    <row r="40" spans="8:12" x14ac:dyDescent="0.25">
      <c r="H40" s="2"/>
      <c r="I40" s="3"/>
      <c r="J40" s="3"/>
      <c r="K40" s="3"/>
      <c r="L40" s="3"/>
    </row>
    <row r="41" spans="8:12" x14ac:dyDescent="0.25">
      <c r="H41" s="2"/>
      <c r="I41" s="3"/>
      <c r="J41" s="3"/>
      <c r="K41" s="3"/>
      <c r="L41" s="3"/>
    </row>
    <row r="42" spans="8:12" x14ac:dyDescent="0.25">
      <c r="H42" s="2"/>
      <c r="I42" s="3"/>
      <c r="J42" s="3"/>
      <c r="K42" s="3"/>
      <c r="L42" s="3"/>
    </row>
    <row r="43" spans="8:12" x14ac:dyDescent="0.25">
      <c r="H43" s="2"/>
      <c r="I43" s="3"/>
      <c r="J43" s="3"/>
      <c r="K43" s="3"/>
      <c r="L43" s="3"/>
    </row>
    <row r="44" spans="8:12" x14ac:dyDescent="0.25">
      <c r="H44" s="2"/>
      <c r="I44" s="3"/>
      <c r="J44" s="3"/>
      <c r="K44" s="3"/>
      <c r="L44" s="3"/>
    </row>
    <row r="45" spans="8:12" x14ac:dyDescent="0.25">
      <c r="H45" s="2"/>
      <c r="I45" s="3"/>
      <c r="J45" s="3"/>
      <c r="K45" s="3"/>
      <c r="L45" s="3"/>
    </row>
    <row r="46" spans="8:12" x14ac:dyDescent="0.25">
      <c r="H46" s="2"/>
      <c r="I46" s="3"/>
      <c r="J46" s="3"/>
      <c r="K46" s="3"/>
      <c r="L46" s="3"/>
    </row>
    <row r="47" spans="8:12" x14ac:dyDescent="0.25">
      <c r="H47" s="2"/>
      <c r="I47" s="3"/>
      <c r="J47" s="3"/>
      <c r="K47" s="3"/>
      <c r="L47" s="3"/>
    </row>
    <row r="48" spans="8:12" x14ac:dyDescent="0.25">
      <c r="H48" s="2"/>
      <c r="I48" s="3"/>
      <c r="J48" s="3"/>
      <c r="K48" s="3"/>
      <c r="L48" s="3"/>
    </row>
    <row r="49" spans="8:12" x14ac:dyDescent="0.25">
      <c r="H49" s="2"/>
      <c r="I49" s="3"/>
      <c r="J49" s="3"/>
      <c r="K49" s="3"/>
      <c r="L49" s="3"/>
    </row>
    <row r="50" spans="8:12" x14ac:dyDescent="0.25">
      <c r="H50" s="2"/>
      <c r="I50" s="3"/>
      <c r="J50" s="3"/>
      <c r="K50" s="3"/>
      <c r="L50" s="3"/>
    </row>
    <row r="51" spans="8:12" x14ac:dyDescent="0.25">
      <c r="H51" s="2"/>
      <c r="I51" s="3"/>
      <c r="J51" s="3"/>
      <c r="K51" s="3"/>
      <c r="L51" s="3"/>
    </row>
    <row r="52" spans="8:12" x14ac:dyDescent="0.25">
      <c r="H52" s="2"/>
      <c r="I52" s="3"/>
      <c r="J52" s="3"/>
      <c r="K52" s="3"/>
      <c r="L52" s="3"/>
    </row>
    <row r="53" spans="8:12" x14ac:dyDescent="0.25">
      <c r="H53" s="2"/>
      <c r="I53" s="3"/>
      <c r="J53" s="3"/>
      <c r="K53" s="3"/>
      <c r="L53" s="3"/>
    </row>
    <row r="54" spans="8:12" x14ac:dyDescent="0.25">
      <c r="H54" s="2"/>
      <c r="I54" s="3"/>
      <c r="J54" s="3"/>
      <c r="K54" s="3"/>
      <c r="L54" s="3"/>
    </row>
    <row r="55" spans="8:12" x14ac:dyDescent="0.25">
      <c r="H55" s="2"/>
      <c r="I55" s="3"/>
      <c r="J55" s="3"/>
      <c r="K55" s="3"/>
      <c r="L55" s="3"/>
    </row>
    <row r="56" spans="8:12" x14ac:dyDescent="0.25">
      <c r="H56" s="2"/>
      <c r="I56" s="3"/>
      <c r="J56" s="3"/>
      <c r="K56" s="3"/>
      <c r="L56" s="3"/>
    </row>
    <row r="57" spans="8:12" x14ac:dyDescent="0.25">
      <c r="H57" s="2"/>
      <c r="I57" s="3"/>
      <c r="J57" s="3"/>
      <c r="K57" s="3"/>
      <c r="L57" s="3"/>
    </row>
    <row r="58" spans="8:12" x14ac:dyDescent="0.25">
      <c r="H58" s="2"/>
      <c r="I58" s="3"/>
      <c r="J58" s="3"/>
      <c r="K58" s="3"/>
      <c r="L58" s="3"/>
    </row>
    <row r="59" spans="8:12" x14ac:dyDescent="0.25">
      <c r="H59" s="2"/>
      <c r="I59" s="3"/>
      <c r="J59" s="3"/>
      <c r="K59" s="3"/>
      <c r="L59" s="3"/>
    </row>
    <row r="60" spans="8:12" x14ac:dyDescent="0.25">
      <c r="H60" s="2"/>
      <c r="I60" s="3"/>
      <c r="J60" s="3"/>
      <c r="K60" s="3"/>
      <c r="L60" s="3"/>
    </row>
    <row r="61" spans="8:12" x14ac:dyDescent="0.25">
      <c r="H61" s="2"/>
      <c r="I61" s="3"/>
      <c r="J61" s="3"/>
      <c r="K61" s="3"/>
      <c r="L61" s="3"/>
    </row>
    <row r="62" spans="8:12" x14ac:dyDescent="0.25">
      <c r="H62" s="2"/>
      <c r="I62" s="3"/>
      <c r="J62" s="3"/>
      <c r="K62" s="3"/>
      <c r="L62" s="3"/>
    </row>
    <row r="63" spans="8:12" x14ac:dyDescent="0.25">
      <c r="H63" s="2"/>
      <c r="I63" s="3"/>
      <c r="J63" s="3"/>
      <c r="K63" s="3"/>
      <c r="L63" s="3"/>
    </row>
    <row r="64" spans="8:12" x14ac:dyDescent="0.25">
      <c r="H64" s="2"/>
      <c r="I64" s="3"/>
      <c r="J64" s="3"/>
      <c r="K64" s="3"/>
      <c r="L64" s="3"/>
    </row>
    <row r="65" spans="8:12" x14ac:dyDescent="0.25">
      <c r="H65" s="2"/>
      <c r="I65" s="3"/>
      <c r="J65" s="3"/>
      <c r="K65" s="3"/>
      <c r="L65" s="3"/>
    </row>
    <row r="66" spans="8:12" x14ac:dyDescent="0.25">
      <c r="H66" s="2"/>
      <c r="I66" s="3"/>
      <c r="J66" s="3"/>
      <c r="K66" s="3"/>
      <c r="L66" s="3"/>
    </row>
    <row r="67" spans="8:12" x14ac:dyDescent="0.25">
      <c r="H67" s="2"/>
      <c r="I67" s="3"/>
      <c r="J67" s="3"/>
      <c r="K67" s="3"/>
      <c r="L67" s="3"/>
    </row>
    <row r="68" spans="8:12" x14ac:dyDescent="0.25">
      <c r="H68" s="2"/>
      <c r="I68" s="3"/>
      <c r="J68" s="3"/>
      <c r="K68" s="3"/>
      <c r="L68" s="3"/>
    </row>
    <row r="69" spans="8:12" x14ac:dyDescent="0.25">
      <c r="H69" s="2"/>
      <c r="I69" s="3"/>
      <c r="J69" s="3"/>
      <c r="K69" s="3"/>
      <c r="L69" s="3"/>
    </row>
    <row r="70" spans="8:12" x14ac:dyDescent="0.25">
      <c r="H70" s="2"/>
      <c r="I70" s="3"/>
      <c r="J70" s="3"/>
      <c r="K70" s="3"/>
      <c r="L70" s="3"/>
    </row>
    <row r="71" spans="8:12" x14ac:dyDescent="0.25">
      <c r="H71" s="2"/>
      <c r="I71" s="3"/>
      <c r="J71" s="3"/>
      <c r="K71" s="3"/>
      <c r="L71" s="3"/>
    </row>
    <row r="72" spans="8:12" x14ac:dyDescent="0.25">
      <c r="H72" s="2"/>
      <c r="I72" s="3"/>
      <c r="J72" s="3"/>
      <c r="K72" s="3"/>
      <c r="L72" s="3"/>
    </row>
    <row r="73" spans="8:12" x14ac:dyDescent="0.25">
      <c r="H73" s="2"/>
      <c r="I73" s="3"/>
      <c r="J73" s="3"/>
      <c r="K73" s="3"/>
      <c r="L73" s="3"/>
    </row>
    <row r="74" spans="8:12" x14ac:dyDescent="0.25">
      <c r="H74" s="2"/>
      <c r="I74" s="3"/>
      <c r="J74" s="3"/>
      <c r="K74" s="3"/>
      <c r="L74" s="3"/>
    </row>
    <row r="75" spans="8:12" x14ac:dyDescent="0.25">
      <c r="H75" s="2"/>
      <c r="I75" s="3"/>
      <c r="J75" s="3"/>
      <c r="K75" s="3"/>
      <c r="L75" s="3"/>
    </row>
    <row r="76" spans="8:12" x14ac:dyDescent="0.25">
      <c r="H76" s="2"/>
      <c r="I76" s="3"/>
      <c r="J76" s="3"/>
      <c r="K76" s="3"/>
      <c r="L76" s="3"/>
    </row>
    <row r="77" spans="8:12" x14ac:dyDescent="0.25">
      <c r="H77" s="2"/>
      <c r="I77" s="3"/>
      <c r="J77" s="3"/>
      <c r="K77" s="3"/>
      <c r="L77" s="3"/>
    </row>
    <row r="78" spans="8:12" x14ac:dyDescent="0.25">
      <c r="H78" s="2"/>
      <c r="I78" s="3"/>
      <c r="J78" s="3"/>
      <c r="K78" s="3"/>
      <c r="L78" s="3"/>
    </row>
    <row r="79" spans="8:12" x14ac:dyDescent="0.25">
      <c r="H79" s="2"/>
      <c r="I79" s="3"/>
      <c r="J79" s="3"/>
      <c r="K79" s="3"/>
      <c r="L79" s="3"/>
    </row>
    <row r="80" spans="8:12" x14ac:dyDescent="0.25">
      <c r="H80" s="2"/>
      <c r="I80" s="3"/>
      <c r="J80" s="3"/>
      <c r="K80" s="3"/>
      <c r="L80" s="3"/>
    </row>
    <row r="81" spans="8:12" x14ac:dyDescent="0.25">
      <c r="H81" s="2"/>
      <c r="I81" s="3"/>
      <c r="J81" s="3"/>
      <c r="K81" s="3"/>
      <c r="L81" s="3"/>
    </row>
    <row r="82" spans="8:12" x14ac:dyDescent="0.25">
      <c r="H82" s="2"/>
      <c r="I82" s="3"/>
      <c r="J82" s="3"/>
      <c r="K82" s="3"/>
      <c r="L82" s="3"/>
    </row>
    <row r="83" spans="8:12" x14ac:dyDescent="0.25">
      <c r="H83" s="2"/>
      <c r="I83" s="3"/>
      <c r="J83" s="3"/>
      <c r="K83" s="3"/>
      <c r="L83" s="3"/>
    </row>
    <row r="84" spans="8:12" x14ac:dyDescent="0.25">
      <c r="H84" s="2"/>
      <c r="I84" s="3"/>
      <c r="J84" s="3"/>
      <c r="K84" s="3"/>
      <c r="L84" s="3"/>
    </row>
    <row r="85" spans="8:12" x14ac:dyDescent="0.25">
      <c r="H85" s="2"/>
      <c r="I85" s="3"/>
      <c r="J85" s="3"/>
      <c r="K85" s="3"/>
      <c r="L85" s="3"/>
    </row>
    <row r="86" spans="8:12" x14ac:dyDescent="0.25">
      <c r="H86" s="2"/>
      <c r="I86" s="3"/>
      <c r="J86" s="3"/>
      <c r="K86" s="3"/>
      <c r="L86" s="3"/>
    </row>
    <row r="87" spans="8:12" x14ac:dyDescent="0.25">
      <c r="H87" s="2"/>
      <c r="I87" s="3"/>
      <c r="J87" s="3"/>
      <c r="K87" s="3"/>
      <c r="L87" s="3"/>
    </row>
    <row r="88" spans="8:12" x14ac:dyDescent="0.25">
      <c r="H88" s="2"/>
      <c r="I88" s="3"/>
      <c r="J88" s="3"/>
      <c r="K88" s="3"/>
      <c r="L88" s="3"/>
    </row>
    <row r="89" spans="8:12" x14ac:dyDescent="0.25">
      <c r="H89" s="2"/>
      <c r="I89" s="3"/>
      <c r="J89" s="3"/>
      <c r="K89" s="3"/>
      <c r="L89" s="3"/>
    </row>
    <row r="90" spans="8:12" x14ac:dyDescent="0.25">
      <c r="H90" s="2"/>
      <c r="I90" s="3"/>
      <c r="J90" s="3"/>
      <c r="K90" s="3"/>
      <c r="L90" s="3"/>
    </row>
    <row r="91" spans="8:12" x14ac:dyDescent="0.25">
      <c r="H91" s="2"/>
      <c r="I91" s="3"/>
      <c r="J91" s="3"/>
      <c r="K91" s="3"/>
      <c r="L91" s="3"/>
    </row>
    <row r="92" spans="8:12" x14ac:dyDescent="0.25">
      <c r="H92" s="2"/>
      <c r="I92" s="3"/>
      <c r="J92" s="3"/>
      <c r="K92" s="3"/>
      <c r="L92" s="3"/>
    </row>
    <row r="93" spans="8:12" x14ac:dyDescent="0.25">
      <c r="H93" s="2"/>
      <c r="I93" s="3"/>
      <c r="J93" s="3"/>
      <c r="K93" s="3"/>
      <c r="L93" s="3"/>
    </row>
    <row r="94" spans="8:12" x14ac:dyDescent="0.25">
      <c r="H94" s="2"/>
      <c r="I94" s="3"/>
      <c r="J94" s="3"/>
      <c r="K94" s="3"/>
      <c r="L94" s="3"/>
    </row>
    <row r="95" spans="8:12" x14ac:dyDescent="0.25">
      <c r="H95" s="2"/>
      <c r="I95" s="3"/>
      <c r="J95" s="3"/>
      <c r="K95" s="3"/>
      <c r="L95" s="3"/>
    </row>
    <row r="96" spans="8:12" x14ac:dyDescent="0.25">
      <c r="H96" s="2"/>
      <c r="I96" s="3"/>
      <c r="J96" s="3"/>
      <c r="K96" s="3"/>
      <c r="L96" s="3"/>
    </row>
    <row r="97" spans="8:12" x14ac:dyDescent="0.25">
      <c r="H97" s="2"/>
      <c r="I97" s="3"/>
      <c r="J97" s="3"/>
      <c r="K97" s="3"/>
      <c r="L97" s="3"/>
    </row>
    <row r="98" spans="8:12" x14ac:dyDescent="0.25">
      <c r="H98" s="2"/>
      <c r="I98" s="3"/>
      <c r="J98" s="3"/>
      <c r="K98" s="3"/>
      <c r="L98" s="3"/>
    </row>
    <row r="99" spans="8:12" x14ac:dyDescent="0.25">
      <c r="H99" s="2"/>
      <c r="I99" s="3"/>
      <c r="J99" s="3"/>
      <c r="K99" s="3"/>
      <c r="L99" s="3"/>
    </row>
    <row r="100" spans="8:12" x14ac:dyDescent="0.25">
      <c r="H100" s="2"/>
      <c r="I100" s="3"/>
      <c r="J100" s="3"/>
      <c r="K100" s="3"/>
      <c r="L100" s="3"/>
    </row>
    <row r="101" spans="8:12" x14ac:dyDescent="0.25">
      <c r="H101" s="2"/>
      <c r="I101" s="3"/>
      <c r="J101" s="3"/>
      <c r="K101" s="3"/>
      <c r="L101" s="3"/>
    </row>
    <row r="102" spans="8:12" x14ac:dyDescent="0.25">
      <c r="H102" s="2"/>
      <c r="I102" s="3"/>
      <c r="J102" s="3"/>
      <c r="K102" s="3"/>
      <c r="L102" s="3"/>
    </row>
    <row r="103" spans="8:12" x14ac:dyDescent="0.25">
      <c r="H103" s="2"/>
      <c r="I103" s="3"/>
      <c r="J103" s="3"/>
      <c r="K103" s="3"/>
      <c r="L103" s="3"/>
    </row>
    <row r="104" spans="8:12" x14ac:dyDescent="0.25">
      <c r="H104" s="2"/>
      <c r="I104" s="3"/>
      <c r="J104" s="3"/>
      <c r="K104" s="3"/>
      <c r="L104" s="3"/>
    </row>
    <row r="105" spans="8:12" x14ac:dyDescent="0.25">
      <c r="H105" s="2"/>
      <c r="I105" s="3"/>
      <c r="J105" s="3"/>
      <c r="K105" s="3"/>
      <c r="L105" s="3"/>
    </row>
    <row r="106" spans="8:12" x14ac:dyDescent="0.25">
      <c r="H106" s="2"/>
      <c r="I106" s="3"/>
      <c r="J106" s="3"/>
      <c r="K106" s="3"/>
      <c r="L106" s="3"/>
    </row>
    <row r="107" spans="8:12" x14ac:dyDescent="0.25">
      <c r="H107" s="2"/>
      <c r="I107" s="3"/>
      <c r="J107" s="3"/>
      <c r="K107" s="3"/>
      <c r="L107" s="3"/>
    </row>
    <row r="108" spans="8:12" x14ac:dyDescent="0.25">
      <c r="H108" s="2"/>
      <c r="I108" s="3"/>
      <c r="J108" s="3"/>
      <c r="K108" s="3"/>
      <c r="L108" s="3"/>
    </row>
    <row r="109" spans="8:12" x14ac:dyDescent="0.25">
      <c r="H109" s="2"/>
      <c r="I109" s="3"/>
      <c r="J109" s="3"/>
      <c r="K109" s="3"/>
      <c r="L109" s="3"/>
    </row>
    <row r="110" spans="8:12" x14ac:dyDescent="0.25">
      <c r="H110" s="2"/>
      <c r="I110" s="3"/>
      <c r="J110" s="3"/>
      <c r="K110" s="3"/>
      <c r="L110" s="3"/>
    </row>
    <row r="111" spans="8:12" x14ac:dyDescent="0.25">
      <c r="H111" s="2"/>
      <c r="I111" s="3"/>
      <c r="J111" s="3"/>
      <c r="K111" s="3"/>
      <c r="L111" s="3"/>
    </row>
    <row r="112" spans="8:12" x14ac:dyDescent="0.25">
      <c r="H112" s="2"/>
      <c r="I112" s="3"/>
      <c r="J112" s="3"/>
      <c r="K112" s="3"/>
      <c r="L112" s="3"/>
    </row>
    <row r="113" spans="8:12" x14ac:dyDescent="0.25">
      <c r="H113" s="2"/>
      <c r="I113" s="3"/>
      <c r="J113" s="3"/>
      <c r="K113" s="3"/>
      <c r="L113" s="3"/>
    </row>
    <row r="114" spans="8:12" x14ac:dyDescent="0.25">
      <c r="H114" s="2"/>
      <c r="I114" s="3"/>
      <c r="J114" s="3"/>
      <c r="K114" s="3"/>
      <c r="L114" s="3"/>
    </row>
    <row r="115" spans="8:12" x14ac:dyDescent="0.25">
      <c r="H115" s="2"/>
      <c r="I115" s="3"/>
      <c r="J115" s="3"/>
      <c r="K115" s="3"/>
      <c r="L115" s="3"/>
    </row>
    <row r="116" spans="8:12" x14ac:dyDescent="0.25">
      <c r="H116" s="2"/>
      <c r="I116" s="3"/>
      <c r="J116" s="3"/>
      <c r="K116" s="3"/>
      <c r="L116" s="3"/>
    </row>
    <row r="117" spans="8:12" x14ac:dyDescent="0.25">
      <c r="H117" s="2"/>
      <c r="I117" s="3"/>
      <c r="J117" s="3"/>
      <c r="K117" s="3"/>
      <c r="L117" s="3"/>
    </row>
    <row r="118" spans="8:12" x14ac:dyDescent="0.25">
      <c r="H118" s="2"/>
      <c r="I118" s="3"/>
      <c r="J118" s="3"/>
      <c r="K118" s="3"/>
      <c r="L118" s="3"/>
    </row>
    <row r="119" spans="8:12" x14ac:dyDescent="0.25">
      <c r="H119" s="2"/>
      <c r="I119" s="3"/>
      <c r="J119" s="3"/>
      <c r="K119" s="3"/>
      <c r="L119" s="3"/>
    </row>
    <row r="120" spans="8:12" x14ac:dyDescent="0.25">
      <c r="H120" s="2"/>
      <c r="I120" s="3"/>
      <c r="J120" s="3"/>
      <c r="K120" s="3"/>
      <c r="L120" s="3"/>
    </row>
    <row r="121" spans="8:12" x14ac:dyDescent="0.25">
      <c r="H121" s="2"/>
      <c r="I121" s="3"/>
      <c r="J121" s="3"/>
      <c r="K121" s="3"/>
      <c r="L121" s="3"/>
    </row>
    <row r="122" spans="8:12" x14ac:dyDescent="0.25">
      <c r="H122" s="2"/>
      <c r="I122" s="3"/>
      <c r="J122" s="3"/>
      <c r="K122" s="3"/>
      <c r="L122" s="3"/>
    </row>
    <row r="123" spans="8:12" x14ac:dyDescent="0.25">
      <c r="H123" s="2"/>
      <c r="I123" s="3"/>
      <c r="J123" s="3"/>
      <c r="K123" s="3"/>
      <c r="L123" s="3"/>
    </row>
    <row r="124" spans="8:12" x14ac:dyDescent="0.25">
      <c r="H124" s="2"/>
      <c r="I124" s="3"/>
      <c r="J124" s="3"/>
      <c r="K124" s="3"/>
      <c r="L124" s="3"/>
    </row>
    <row r="125" spans="8:12" x14ac:dyDescent="0.25">
      <c r="H125" s="2"/>
      <c r="I125" s="3"/>
      <c r="J125" s="3"/>
      <c r="K125" s="3"/>
      <c r="L125" s="3"/>
    </row>
    <row r="126" spans="8:12" x14ac:dyDescent="0.25">
      <c r="H126" s="2"/>
      <c r="I126" s="3"/>
      <c r="J126" s="3"/>
      <c r="K126" s="3"/>
      <c r="L126" s="3"/>
    </row>
    <row r="127" spans="8:12" x14ac:dyDescent="0.25">
      <c r="H127" s="2"/>
      <c r="I127" s="3"/>
      <c r="J127" s="3"/>
      <c r="K127" s="3"/>
      <c r="L127" s="3"/>
    </row>
    <row r="128" spans="8:12" x14ac:dyDescent="0.25">
      <c r="H128" s="2"/>
      <c r="I128" s="3"/>
      <c r="J128" s="3"/>
      <c r="K128" s="3"/>
      <c r="L128" s="3"/>
    </row>
    <row r="129" spans="8:12" x14ac:dyDescent="0.25">
      <c r="H129" s="2"/>
      <c r="I129" s="3"/>
      <c r="J129" s="3"/>
      <c r="K129" s="3"/>
      <c r="L129" s="3"/>
    </row>
    <row r="130" spans="8:12" x14ac:dyDescent="0.25">
      <c r="H130" s="2"/>
      <c r="I130" s="3"/>
      <c r="J130" s="3"/>
      <c r="K130" s="3"/>
      <c r="L130" s="3"/>
    </row>
    <row r="131" spans="8:12" x14ac:dyDescent="0.25">
      <c r="H131" s="2"/>
      <c r="I131" s="3"/>
      <c r="J131" s="3"/>
      <c r="K131" s="3"/>
      <c r="L131" s="3"/>
    </row>
    <row r="132" spans="8:12" x14ac:dyDescent="0.25">
      <c r="H132" s="2"/>
      <c r="I132" s="3"/>
      <c r="J132" s="3"/>
      <c r="K132" s="3"/>
      <c r="L132" s="3"/>
    </row>
    <row r="133" spans="8:12" x14ac:dyDescent="0.25">
      <c r="H133" s="2"/>
      <c r="I133" s="3"/>
      <c r="J133" s="3"/>
      <c r="K133" s="3"/>
      <c r="L133" s="3"/>
    </row>
    <row r="134" spans="8:12" x14ac:dyDescent="0.25">
      <c r="H134" s="2"/>
      <c r="I134" s="3"/>
      <c r="J134" s="3"/>
      <c r="K134" s="3"/>
      <c r="L134" s="3"/>
    </row>
    <row r="135" spans="8:12" x14ac:dyDescent="0.25">
      <c r="H135" s="2"/>
      <c r="I135" s="3"/>
      <c r="J135" s="3"/>
      <c r="K135" s="3"/>
      <c r="L135" s="3"/>
    </row>
    <row r="136" spans="8:12" x14ac:dyDescent="0.25">
      <c r="H136" s="2"/>
      <c r="I136" s="3"/>
      <c r="J136" s="3"/>
      <c r="K136" s="3"/>
      <c r="L136" s="3"/>
    </row>
    <row r="137" spans="8:12" x14ac:dyDescent="0.25">
      <c r="H137" s="2"/>
      <c r="I137" s="3"/>
      <c r="J137" s="3"/>
      <c r="K137" s="3"/>
      <c r="L137" s="3"/>
    </row>
    <row r="138" spans="8:12" x14ac:dyDescent="0.25">
      <c r="H138" s="2"/>
      <c r="I138" s="3"/>
      <c r="J138" s="3"/>
      <c r="K138" s="3"/>
      <c r="L138" s="3"/>
    </row>
    <row r="139" spans="8:12" x14ac:dyDescent="0.25">
      <c r="H139" s="2"/>
      <c r="I139" s="3"/>
      <c r="J139" s="3"/>
      <c r="K139" s="3"/>
      <c r="L139" s="3"/>
    </row>
    <row r="140" spans="8:12" x14ac:dyDescent="0.25">
      <c r="H140" s="2"/>
      <c r="I140" s="3"/>
      <c r="J140" s="3"/>
      <c r="K140" s="3"/>
      <c r="L140" s="3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2:C3"/>
  <sheetViews>
    <sheetView workbookViewId="0">
      <selection activeCell="A2" sqref="A2"/>
    </sheetView>
  </sheetViews>
  <sheetFormatPr defaultRowHeight="15" x14ac:dyDescent="0.25"/>
  <cols>
    <col min="1" max="1" width="15.5" bestFit="1" customWidth="1"/>
    <col min="2" max="2" width="12.875" bestFit="1" customWidth="1"/>
    <col min="3" max="3" width="15.5" bestFit="1" customWidth="1"/>
    <col min="4" max="4" width="11.125" customWidth="1"/>
    <col min="5" max="5" width="11.125" bestFit="1" customWidth="1"/>
  </cols>
  <sheetData>
    <row r="2" spans="1:3" x14ac:dyDescent="0.25">
      <c r="A2" s="40" t="s">
        <v>35</v>
      </c>
      <c r="B2" s="41" t="s">
        <v>45</v>
      </c>
      <c r="C2" s="41" t="s">
        <v>44</v>
      </c>
    </row>
    <row r="3" spans="1:3" x14ac:dyDescent="0.25">
      <c r="A3" s="42" t="s">
        <v>61</v>
      </c>
      <c r="B3" s="43"/>
      <c r="C3" s="4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3"/>
  <sheetViews>
    <sheetView showGridLines="0" workbookViewId="0"/>
  </sheetViews>
  <sheetFormatPr defaultRowHeight="15" x14ac:dyDescent="0.25"/>
  <cols>
    <col min="1" max="1" width="24.75" customWidth="1"/>
    <col min="2" max="2" width="17" customWidth="1"/>
    <col min="3" max="4" width="6.625" bestFit="1" customWidth="1"/>
    <col min="5" max="6" width="6.25" bestFit="1" customWidth="1"/>
  </cols>
  <sheetData>
    <row r="1" spans="1:2" x14ac:dyDescent="0.25">
      <c r="A1" s="45" t="s">
        <v>56</v>
      </c>
      <c r="B1" s="45" t="s">
        <v>55</v>
      </c>
    </row>
    <row r="2" spans="1:2" x14ac:dyDescent="0.25">
      <c r="A2" s="45" t="s">
        <v>27</v>
      </c>
      <c r="B2" s="47" t="s">
        <v>28</v>
      </c>
    </row>
    <row r="3" spans="1:2" x14ac:dyDescent="0.25">
      <c r="A3" s="48" t="s">
        <v>28</v>
      </c>
      <c r="B3" s="49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4"/>
  <sheetViews>
    <sheetView showGridLines="0" workbookViewId="0"/>
  </sheetViews>
  <sheetFormatPr defaultRowHeight="15" x14ac:dyDescent="0.25"/>
  <cols>
    <col min="1" max="1" width="24.75" customWidth="1"/>
    <col min="2" max="2" width="15.25" bestFit="1" customWidth="1"/>
    <col min="3" max="3" width="8.375" bestFit="1" customWidth="1"/>
    <col min="4" max="4" width="13" bestFit="1" customWidth="1"/>
    <col min="5" max="6" width="12.25" bestFit="1" customWidth="1"/>
  </cols>
  <sheetData>
    <row r="1" spans="1:4" x14ac:dyDescent="0.25">
      <c r="A1" s="45" t="s">
        <v>56</v>
      </c>
      <c r="B1" s="45" t="s">
        <v>5</v>
      </c>
      <c r="C1" s="46"/>
      <c r="D1" s="46"/>
    </row>
    <row r="2" spans="1:4" x14ac:dyDescent="0.25">
      <c r="A2" s="45" t="s">
        <v>8</v>
      </c>
      <c r="B2" s="46" t="s">
        <v>51</v>
      </c>
      <c r="C2" s="46" t="s">
        <v>50</v>
      </c>
      <c r="D2" s="46" t="s">
        <v>61</v>
      </c>
    </row>
    <row r="3" spans="1:4" x14ac:dyDescent="0.25">
      <c r="A3" s="48" t="s">
        <v>47</v>
      </c>
      <c r="B3" s="49">
        <v>0</v>
      </c>
      <c r="C3" s="49">
        <v>0</v>
      </c>
      <c r="D3" s="49">
        <v>0</v>
      </c>
    </row>
    <row r="4" spans="1:4" x14ac:dyDescent="0.25">
      <c r="A4" s="48" t="s">
        <v>61</v>
      </c>
      <c r="B4" s="49">
        <v>0</v>
      </c>
      <c r="C4" s="49">
        <v>0</v>
      </c>
      <c r="D4" s="49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4"/>
  <sheetViews>
    <sheetView showGridLines="0" workbookViewId="0"/>
  </sheetViews>
  <sheetFormatPr defaultRowHeight="15" x14ac:dyDescent="0.25"/>
  <cols>
    <col min="1" max="1" width="24.75" customWidth="1"/>
    <col min="2" max="2" width="15.25" bestFit="1" customWidth="1"/>
    <col min="3" max="3" width="8.375" bestFit="1" customWidth="1"/>
    <col min="4" max="4" width="13" bestFit="1" customWidth="1"/>
    <col min="5" max="6" width="12.25" bestFit="1" customWidth="1"/>
  </cols>
  <sheetData>
    <row r="1" spans="1:4" x14ac:dyDescent="0.25">
      <c r="A1" s="45" t="s">
        <v>56</v>
      </c>
      <c r="B1" s="45" t="s">
        <v>5</v>
      </c>
      <c r="C1" s="46"/>
      <c r="D1" s="46"/>
    </row>
    <row r="2" spans="1:4" x14ac:dyDescent="0.25">
      <c r="A2" s="45" t="s">
        <v>9</v>
      </c>
      <c r="B2" s="47" t="s">
        <v>51</v>
      </c>
      <c r="C2" s="47" t="s">
        <v>50</v>
      </c>
      <c r="D2" s="47" t="s">
        <v>61</v>
      </c>
    </row>
    <row r="3" spans="1:4" x14ac:dyDescent="0.25">
      <c r="A3" s="48" t="s">
        <v>46</v>
      </c>
      <c r="B3" s="49">
        <v>0</v>
      </c>
      <c r="C3" s="49">
        <v>0</v>
      </c>
      <c r="D3" s="49">
        <v>0</v>
      </c>
    </row>
    <row r="4" spans="1:4" x14ac:dyDescent="0.25">
      <c r="A4" s="48" t="s">
        <v>61</v>
      </c>
      <c r="B4" s="49">
        <v>0</v>
      </c>
      <c r="C4" s="49">
        <v>0</v>
      </c>
      <c r="D4" s="49">
        <v>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3"/>
  <sheetViews>
    <sheetView showGridLines="0" workbookViewId="0"/>
  </sheetViews>
  <sheetFormatPr defaultRowHeight="15" x14ac:dyDescent="0.25"/>
  <cols>
    <col min="1" max="1" width="24.75" customWidth="1"/>
    <col min="2" max="2" width="15.25" customWidth="1"/>
    <col min="3" max="3" width="8.375" bestFit="1" customWidth="1"/>
    <col min="4" max="6" width="12.25" bestFit="1" customWidth="1"/>
  </cols>
  <sheetData>
    <row r="1" spans="1:2" x14ac:dyDescent="0.25">
      <c r="A1" s="45" t="s">
        <v>56</v>
      </c>
      <c r="B1" s="45" t="s">
        <v>5</v>
      </c>
    </row>
    <row r="2" spans="1:2" x14ac:dyDescent="0.25">
      <c r="A2" s="45" t="s">
        <v>29</v>
      </c>
      <c r="B2" s="47" t="s">
        <v>61</v>
      </c>
    </row>
    <row r="3" spans="1:2" x14ac:dyDescent="0.25">
      <c r="A3" s="48" t="s">
        <v>61</v>
      </c>
      <c r="B3" s="4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Eventos</vt:lpstr>
      <vt:lpstr>Indicadores</vt:lpstr>
      <vt:lpstr>Producao</vt:lpstr>
      <vt:lpstr>Event_Grafico</vt:lpstr>
      <vt:lpstr>Event_Grafico2</vt:lpstr>
      <vt:lpstr>Event_Grafico3</vt:lpstr>
      <vt:lpstr>Event_Grafico4</vt:lpstr>
      <vt:lpstr>Indic_Grafico</vt:lpstr>
      <vt:lpstr>Resumo_Prod</vt:lpstr>
      <vt:lpstr>Resumo Area</vt:lpstr>
      <vt:lpstr>Resumo Grupo</vt:lpstr>
      <vt:lpstr>Resumo Causa</vt:lpstr>
      <vt:lpstr>Resumo Estacao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</dc:creator>
  <cp:lastModifiedBy>Patricia Menjao</cp:lastModifiedBy>
  <dcterms:created xsi:type="dcterms:W3CDTF">2020-04-09T23:43:24Z</dcterms:created>
  <dcterms:modified xsi:type="dcterms:W3CDTF">2021-07-25T13:17:52Z</dcterms:modified>
</cp:coreProperties>
</file>